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122" documentId="11_EEB0889C04872BC7FFC600B650F30816AF05BED8" xr6:coauthVersionLast="47" xr6:coauthVersionMax="47" xr10:uidLastSave="{85281890-446D-4EE3-B663-A24014212743}"/>
  <bookViews>
    <workbookView xWindow="0" yWindow="0" windowWidth="16384" windowHeight="8192" tabRatio="500" xr2:uid="{00000000-000D-0000-FFFF-FFFF00000000}"/>
  </bookViews>
  <sheets>
    <sheet name="Instrucciones" sheetId="1" r:id="rId1"/>
    <sheet name="Tipologia" sheetId="2" r:id="rId2"/>
    <sheet name="Negocio_Volumen" sheetId="3" r:id="rId3"/>
    <sheet name="Negocio_Horas" sheetId="4" r:id="rId4"/>
    <sheet name="Ciudad" sheetId="5" r:id="rId5"/>
    <sheet name="Entrega" sheetId="6" r:id="rId6"/>
    <sheet name="RRSS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5" i="7" l="1"/>
  <c r="L5" i="7"/>
  <c r="K5" i="7"/>
  <c r="J5" i="7"/>
  <c r="H5" i="7"/>
  <c r="G5" i="7"/>
  <c r="F5" i="7"/>
  <c r="D5" i="7"/>
  <c r="C5" i="7"/>
  <c r="M4" i="7"/>
  <c r="L4" i="7"/>
  <c r="K4" i="7"/>
  <c r="J4" i="7"/>
  <c r="H4" i="7"/>
  <c r="G4" i="7"/>
  <c r="F4" i="7"/>
  <c r="D4" i="7"/>
  <c r="C4" i="7"/>
  <c r="C7" i="5"/>
  <c r="M6" i="5"/>
  <c r="L6" i="5"/>
  <c r="K6" i="5"/>
  <c r="H6" i="5"/>
  <c r="G6" i="5"/>
  <c r="F6" i="5"/>
  <c r="C6" i="5"/>
  <c r="B6" i="5"/>
  <c r="M5" i="5"/>
  <c r="L5" i="5"/>
  <c r="K5" i="5"/>
  <c r="J5" i="5"/>
  <c r="D5" i="5"/>
  <c r="C5" i="5"/>
  <c r="M4" i="5"/>
  <c r="L4" i="5"/>
  <c r="K4" i="5"/>
  <c r="J4" i="5"/>
  <c r="H4" i="5"/>
  <c r="G4" i="5"/>
  <c r="F4" i="5"/>
  <c r="D4" i="5"/>
  <c r="C4" i="5"/>
  <c r="B4" i="5"/>
  <c r="E4" i="5"/>
  <c r="L15" i="4"/>
  <c r="K15" i="4"/>
  <c r="F15" i="4"/>
  <c r="C15" i="4"/>
  <c r="M5" i="4"/>
  <c r="K5" i="4"/>
  <c r="J5" i="4"/>
  <c r="I5" i="4"/>
  <c r="H5" i="4"/>
  <c r="F5" i="4"/>
  <c r="D5" i="4"/>
  <c r="C5" i="4"/>
  <c r="B5" i="4"/>
  <c r="L15" i="3"/>
  <c r="K15" i="3"/>
  <c r="F15" i="3"/>
  <c r="C15" i="3"/>
  <c r="M4" i="3"/>
  <c r="K4" i="3"/>
  <c r="J4" i="3"/>
  <c r="H4" i="3"/>
  <c r="F4" i="3"/>
  <c r="D4" i="3"/>
  <c r="C4" i="3"/>
  <c r="B4" i="3"/>
  <c r="L17" i="3"/>
  <c r="K17" i="3"/>
  <c r="J17" i="3"/>
  <c r="H17" i="3"/>
  <c r="G17" i="3"/>
  <c r="E17" i="3"/>
  <c r="C17" i="3"/>
  <c r="B17" i="3"/>
  <c r="N5" i="7"/>
  <c r="N4" i="7"/>
  <c r="B5" i="6"/>
  <c r="M10" i="5"/>
  <c r="L10" i="5"/>
  <c r="K10" i="5"/>
  <c r="J10" i="5"/>
  <c r="I10" i="5"/>
  <c r="H10" i="5"/>
  <c r="G10" i="5"/>
  <c r="F10" i="5"/>
  <c r="E10" i="5"/>
  <c r="D10" i="5"/>
  <c r="C10" i="5"/>
  <c r="B10" i="5"/>
  <c r="N10" i="5" s="1"/>
  <c r="N9" i="5"/>
  <c r="N8" i="5"/>
  <c r="N7" i="5"/>
  <c r="N6" i="5"/>
  <c r="N5" i="5"/>
  <c r="N4" i="5"/>
  <c r="M31" i="4"/>
  <c r="L31" i="4"/>
  <c r="K31" i="4"/>
  <c r="J31" i="4"/>
  <c r="I31" i="4"/>
  <c r="H31" i="4"/>
  <c r="G31" i="4"/>
  <c r="F31" i="4"/>
  <c r="E31" i="4"/>
  <c r="D31" i="4"/>
  <c r="C31" i="4"/>
  <c r="B31" i="4"/>
  <c r="N31" i="4" s="1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M31" i="3"/>
  <c r="L31" i="3"/>
  <c r="K31" i="3"/>
  <c r="J31" i="3"/>
  <c r="I31" i="3"/>
  <c r="H31" i="3"/>
  <c r="G31" i="3"/>
  <c r="F31" i="3"/>
  <c r="E31" i="3"/>
  <c r="D31" i="3"/>
  <c r="C31" i="3"/>
  <c r="B31" i="3"/>
  <c r="N31" i="3" s="1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M19" i="2"/>
  <c r="L19" i="2"/>
  <c r="K19" i="2"/>
  <c r="J19" i="2"/>
  <c r="I19" i="2"/>
  <c r="H19" i="2"/>
  <c r="G19" i="2"/>
  <c r="F19" i="2"/>
  <c r="E19" i="2"/>
  <c r="D19" i="2"/>
  <c r="C19" i="2"/>
  <c r="B19" i="2"/>
  <c r="N19" i="2" s="1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</calcChain>
</file>

<file path=xl/sharedStrings.xml><?xml version="1.0" encoding="utf-8"?>
<sst xmlns="http://schemas.openxmlformats.org/spreadsheetml/2006/main" count="193" uniqueCount="95">
  <si>
    <t>PLANTILLA DASHBOARD BDESIGN</t>
  </si>
  <si>
    <t>Cómo funciona</t>
  </si>
  <si>
    <t>•</t>
  </si>
  <si>
    <t>Esta plantilla alimenta al BDesign Dashboard. Tiene 6 hojas de datos, una por sección.</t>
  </si>
  <si>
    <t>El dashboard lee las hojas de forma DINÁMICA: detecta automáticamente las categorías y los meses que haya.</t>
  </si>
  <si>
    <t>El dashboard ORDENA las gráficas por valor (de mayor a menor) automáticamente.</t>
  </si>
  <si>
    <t>Reglas críticas (no romper)</t>
  </si>
  <si>
    <t>Nombres de hojas</t>
  </si>
  <si>
    <t>No cambies los nombres de las hojas (Tipologia, Negocio_Volumen, Negocio_Horas, Ciudad, Entrega, RRSS).</t>
  </si>
  <si>
    <t>Estructura general</t>
  </si>
  <si>
    <t>Fila 1 = título. Fila 2 = vacía. Fila 3 = cabeceras (categoría + meses + 'Total YTD'). Filas 4 a N = datos. Última fila = 'TOTAL'.</t>
  </si>
  <si>
    <t>Etiqueta TOTAL</t>
  </si>
  <si>
    <t>La fila TOTAL debe llamarse exactamente 'TOTAL' (en mayúsculas).</t>
  </si>
  <si>
    <t>Etiqueta Total YTD</t>
  </si>
  <si>
    <t>La columna final debe llamarse exactamente 'Total YTD'.</t>
  </si>
  <si>
    <t>Formato de meses</t>
  </si>
  <si>
    <t>Usa siempre el mismo formato: 'Enero 2025', 'Febrero 2025'…</t>
  </si>
  <si>
    <t>Nombre del archivo</t>
  </si>
  <si>
    <t>Guarda siempre como 'datos.xlsx'.</t>
  </si>
  <si>
    <t>Volumen de trabajos por TIPOLOGÍA</t>
  </si>
  <si>
    <t>Tipología</t>
  </si>
  <si>
    <t>Enero 2025</t>
  </si>
  <si>
    <t>Febrero 2025</t>
  </si>
  <si>
    <t>Marzo 2025</t>
  </si>
  <si>
    <t>Abril 2025</t>
  </si>
  <si>
    <t>Mayo 2025</t>
  </si>
  <si>
    <t>Junio 2025</t>
  </si>
  <si>
    <t>Julio 2025</t>
  </si>
  <si>
    <t>Agosto 2025</t>
  </si>
  <si>
    <t>Septiembre 2025</t>
  </si>
  <si>
    <t>Octubre 2025</t>
  </si>
  <si>
    <t>Noviembre 2025</t>
  </si>
  <si>
    <t>Diciembre 2025</t>
  </si>
  <si>
    <t>Total YTD</t>
  </si>
  <si>
    <t>RRSS</t>
  </si>
  <si>
    <t>Dossier</t>
  </si>
  <si>
    <t>Emailing</t>
  </si>
  <si>
    <t>Otros</t>
  </si>
  <si>
    <t>Carteleria</t>
  </si>
  <si>
    <t>Pitch</t>
  </si>
  <si>
    <t>Video</t>
  </si>
  <si>
    <t>Merchan</t>
  </si>
  <si>
    <t>Banner</t>
  </si>
  <si>
    <t>Web</t>
  </si>
  <si>
    <t>Branding</t>
  </si>
  <si>
    <t>Campañas</t>
  </si>
  <si>
    <t>Infografia</t>
  </si>
  <si>
    <t>Formacion</t>
  </si>
  <si>
    <t>Stand</t>
  </si>
  <si>
    <t>TOTAL</t>
  </si>
  <si>
    <t>Volumen de trabajos por DEPARTAMENTO/NEGOCIO</t>
  </si>
  <si>
    <t>Departamento</t>
  </si>
  <si>
    <t>MKT</t>
  </si>
  <si>
    <t>Residencial</t>
  </si>
  <si>
    <t>Oficinas</t>
  </si>
  <si>
    <t>Residencial Social</t>
  </si>
  <si>
    <t>Arquitectura</t>
  </si>
  <si>
    <t>Logistico</t>
  </si>
  <si>
    <t>Property Management</t>
  </si>
  <si>
    <t>Hoteles</t>
  </si>
  <si>
    <t>RRHH</t>
  </si>
  <si>
    <t>Residencial Alternativos</t>
  </si>
  <si>
    <t>Consultoria</t>
  </si>
  <si>
    <t>Comite</t>
  </si>
  <si>
    <t>IT</t>
  </si>
  <si>
    <t>Retail</t>
  </si>
  <si>
    <t>ESG</t>
  </si>
  <si>
    <t>FM</t>
  </si>
  <si>
    <t>Business Development</t>
  </si>
  <si>
    <t>Research</t>
  </si>
  <si>
    <t>Rural</t>
  </si>
  <si>
    <t>Valoraciones y Tasaciones</t>
  </si>
  <si>
    <t>Healthcare</t>
  </si>
  <si>
    <t>Private Wealth</t>
  </si>
  <si>
    <t>Financiero</t>
  </si>
  <si>
    <t>Compliance</t>
  </si>
  <si>
    <t>Urbanismo</t>
  </si>
  <si>
    <t>Student Housing</t>
  </si>
  <si>
    <t>Brand Design</t>
  </si>
  <si>
    <t>HORAS dedicadas por DEPARTAMENTO/NEGOCIO</t>
  </si>
  <si>
    <t>Volumen de trabajos por CIUDAD</t>
  </si>
  <si>
    <t>Ciudad</t>
  </si>
  <si>
    <t>Madrid</t>
  </si>
  <si>
    <t>Barcelona</t>
  </si>
  <si>
    <t>Málaga</t>
  </si>
  <si>
    <t>Valencia</t>
  </si>
  <si>
    <t>Sevilla</t>
  </si>
  <si>
    <t>Marbella</t>
  </si>
  <si>
    <t>Tiempo medio de ENTREGA (días)</t>
  </si>
  <si>
    <t>Métrica</t>
  </si>
  <si>
    <t>Días medios de entrega</t>
  </si>
  <si>
    <t>MEDIA YTD</t>
  </si>
  <si>
    <t>REDES SOCIALES — Volumen y Horas</t>
  </si>
  <si>
    <t>Volumen de publicaciones</t>
  </si>
  <si>
    <t>Horas dedicadas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</si>
</sst>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b/>
      <sz val="12"/>
      <color rgb="FFFFFFFF"/>
      <name val="Montserrat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1A1D35"/>
        <bgColor rgb="FF2A2D4A"/>
      </patternFill>
    </fill>
    <fill>
      <patternFill patternType="solid">
        <fgColor rgb="FF2A2D4A"/>
        <bgColor rgb="FF1A1D35"/>
      </patternFill>
    </fill>
    <fill>
      <patternFill patternType="solid">
        <fgColor rgb="FFE8E8E8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readingOrder="1"/>
    </xf>
    <xf numFmtId="0" fontId="6" fillId="0" borderId="2" xfId="0" applyFont="1" applyBorder="1" applyAlignment="1">
      <alignment readingOrder="1"/>
    </xf>
    <xf numFmtId="0" fontId="6" fillId="0" borderId="3" xfId="0" applyFont="1" applyBorder="1" applyAlignment="1">
      <alignment readingOrder="1"/>
    </xf>
    <xf numFmtId="0" fontId="6" fillId="0" borderId="4" xfId="0" applyFont="1" applyBorder="1" applyAlignment="1">
      <alignment readingOrder="1"/>
    </xf>
    <xf numFmtId="0" fontId="6" fillId="0" borderId="5" xfId="0" applyFont="1" applyBorder="1" applyAlignment="1">
      <alignment readingOrder="1"/>
    </xf>
    <xf numFmtId="0" fontId="6" fillId="0" borderId="6" xfId="0" applyFont="1" applyBorder="1" applyAlignment="1">
      <alignment readingOrder="1"/>
    </xf>
    <xf numFmtId="0" fontId="6" fillId="0" borderId="7" xfId="0" applyFont="1" applyBorder="1" applyAlignment="1">
      <alignment readingOrder="1"/>
    </xf>
    <xf numFmtId="0" fontId="6" fillId="0" borderId="8" xfId="0" applyFont="1" applyBorder="1" applyAlignment="1">
      <alignment readingOrder="1"/>
    </xf>
    <xf numFmtId="0" fontId="6" fillId="0" borderId="9" xfId="0" applyFont="1" applyBorder="1" applyAlignment="1">
      <alignment readingOrder="1"/>
    </xf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1D35"/>
      <rgbColor rgb="FF339966"/>
      <rgbColor rgb="FF003300"/>
      <rgbColor rgb="FF333300"/>
      <rgbColor rgb="FF993300"/>
      <rgbColor rgb="FF993366"/>
      <rgbColor rgb="FF333399"/>
      <rgbColor rgb="FF2A2D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zoomScaleNormal="100" workbookViewId="0"/>
  </sheetViews>
  <sheetFormatPr defaultColWidth="8.7109375" defaultRowHeight="15"/>
  <cols>
    <col min="1" max="1" width="30" customWidth="1"/>
    <col min="2" max="2" width="90" customWidth="1"/>
  </cols>
  <sheetData>
    <row r="1" spans="1:2">
      <c r="A1" t="s">
        <v>0</v>
      </c>
    </row>
    <row r="3" spans="1:2">
      <c r="A3" t="s">
        <v>1</v>
      </c>
    </row>
    <row r="5" spans="1:2">
      <c r="A5" t="s">
        <v>2</v>
      </c>
      <c r="B5" t="s">
        <v>3</v>
      </c>
    </row>
    <row r="6" spans="1:2">
      <c r="A6" t="s">
        <v>2</v>
      </c>
      <c r="B6" t="s">
        <v>4</v>
      </c>
    </row>
    <row r="7" spans="1:2">
      <c r="A7" t="s">
        <v>2</v>
      </c>
      <c r="B7" t="s">
        <v>5</v>
      </c>
    </row>
    <row r="9" spans="1:2">
      <c r="A9" t="s">
        <v>6</v>
      </c>
    </row>
    <row r="11" spans="1:2">
      <c r="A11" t="s">
        <v>7</v>
      </c>
      <c r="B11" t="s">
        <v>8</v>
      </c>
    </row>
    <row r="12" spans="1:2">
      <c r="A12" t="s">
        <v>9</v>
      </c>
      <c r="B12" t="s">
        <v>10</v>
      </c>
    </row>
    <row r="13" spans="1:2">
      <c r="A13" t="s">
        <v>11</v>
      </c>
      <c r="B13" t="s">
        <v>12</v>
      </c>
    </row>
    <row r="14" spans="1:2">
      <c r="A14" t="s">
        <v>13</v>
      </c>
      <c r="B14" t="s">
        <v>14</v>
      </c>
    </row>
    <row r="15" spans="1:2">
      <c r="A15" t="s">
        <v>15</v>
      </c>
      <c r="B15" t="s">
        <v>16</v>
      </c>
    </row>
    <row r="16" spans="1:2">
      <c r="A16" t="s">
        <v>17</v>
      </c>
      <c r="B16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zoomScaleNormal="100" workbookViewId="0"/>
  </sheetViews>
  <sheetFormatPr defaultColWidth="8.7109375" defaultRowHeight="15"/>
  <cols>
    <col min="1" max="1" width="28" customWidth="1"/>
    <col min="2" max="14" width="14" customWidth="1"/>
  </cols>
  <sheetData>
    <row r="1" spans="1:14">
      <c r="A1" s="17" t="s">
        <v>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3" spans="1:14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</row>
    <row r="4" spans="1:14">
      <c r="A4" s="2" t="s">
        <v>34</v>
      </c>
      <c r="B4" s="8">
        <v>28</v>
      </c>
      <c r="C4" s="9">
        <v>32</v>
      </c>
      <c r="D4" s="9">
        <v>25</v>
      </c>
      <c r="E4" s="9">
        <v>27</v>
      </c>
      <c r="F4" s="9">
        <v>25</v>
      </c>
      <c r="G4" s="9">
        <v>42</v>
      </c>
      <c r="H4" s="9">
        <v>72</v>
      </c>
      <c r="I4" s="9">
        <v>11</v>
      </c>
      <c r="J4" s="9">
        <v>44</v>
      </c>
      <c r="K4" s="9">
        <v>30</v>
      </c>
      <c r="L4" s="9">
        <v>50</v>
      </c>
      <c r="M4" s="10">
        <v>13</v>
      </c>
      <c r="N4" s="3">
        <f>SUM(B4:M4)</f>
        <v>399</v>
      </c>
    </row>
    <row r="5" spans="1:14">
      <c r="A5" s="2" t="s">
        <v>35</v>
      </c>
      <c r="B5" s="11">
        <v>36</v>
      </c>
      <c r="C5" s="12">
        <v>39</v>
      </c>
      <c r="D5" s="12">
        <v>46</v>
      </c>
      <c r="E5" s="12">
        <v>48</v>
      </c>
      <c r="F5" s="12">
        <v>35</v>
      </c>
      <c r="G5" s="12">
        <v>25</v>
      </c>
      <c r="H5" s="12">
        <v>43</v>
      </c>
      <c r="I5" s="12">
        <v>8</v>
      </c>
      <c r="J5" s="12">
        <v>23</v>
      </c>
      <c r="K5" s="12">
        <v>29</v>
      </c>
      <c r="L5" s="12">
        <v>32</v>
      </c>
      <c r="M5" s="13">
        <v>30</v>
      </c>
      <c r="N5" s="3">
        <f>SUM(B5:M5)</f>
        <v>394</v>
      </c>
    </row>
    <row r="6" spans="1:14">
      <c r="A6" s="2" t="s">
        <v>36</v>
      </c>
      <c r="B6" s="11">
        <v>19</v>
      </c>
      <c r="C6" s="12">
        <v>21</v>
      </c>
      <c r="D6" s="12">
        <v>35</v>
      </c>
      <c r="E6" s="12">
        <v>29</v>
      </c>
      <c r="F6" s="12">
        <v>19</v>
      </c>
      <c r="G6" s="12">
        <v>25</v>
      </c>
      <c r="H6" s="12">
        <v>21</v>
      </c>
      <c r="I6" s="12">
        <v>10</v>
      </c>
      <c r="J6" s="12">
        <v>22</v>
      </c>
      <c r="K6" s="12">
        <v>45</v>
      </c>
      <c r="L6" s="12">
        <v>34</v>
      </c>
      <c r="M6" s="13">
        <v>8</v>
      </c>
      <c r="N6" s="3">
        <f>SUM(B6:M6)</f>
        <v>288</v>
      </c>
    </row>
    <row r="7" spans="1:14">
      <c r="A7" s="2" t="s">
        <v>37</v>
      </c>
      <c r="B7" s="11">
        <v>20</v>
      </c>
      <c r="C7" s="12">
        <v>14</v>
      </c>
      <c r="D7" s="12">
        <v>14</v>
      </c>
      <c r="E7" s="12">
        <v>9</v>
      </c>
      <c r="F7" s="12">
        <v>14</v>
      </c>
      <c r="G7" s="12">
        <v>13</v>
      </c>
      <c r="H7" s="12">
        <v>19</v>
      </c>
      <c r="I7" s="12">
        <v>10</v>
      </c>
      <c r="J7" s="12">
        <v>20</v>
      </c>
      <c r="K7" s="12">
        <v>18</v>
      </c>
      <c r="L7" s="12">
        <v>34</v>
      </c>
      <c r="M7" s="13">
        <v>17</v>
      </c>
      <c r="N7" s="3">
        <f>SUM(B7:M7)</f>
        <v>202</v>
      </c>
    </row>
    <row r="8" spans="1:14">
      <c r="A8" s="2" t="s">
        <v>38</v>
      </c>
      <c r="B8" s="11">
        <v>5</v>
      </c>
      <c r="C8" s="12">
        <v>5</v>
      </c>
      <c r="D8" s="12">
        <v>4</v>
      </c>
      <c r="E8" s="12">
        <v>7</v>
      </c>
      <c r="F8" s="12">
        <v>5</v>
      </c>
      <c r="G8" s="12">
        <v>5</v>
      </c>
      <c r="H8" s="12">
        <v>9</v>
      </c>
      <c r="I8" s="12">
        <v>0</v>
      </c>
      <c r="J8" s="12">
        <v>11</v>
      </c>
      <c r="K8" s="12">
        <v>14</v>
      </c>
      <c r="L8" s="12">
        <v>9</v>
      </c>
      <c r="M8" s="13">
        <v>9</v>
      </c>
      <c r="N8" s="3">
        <f>SUM(B8:M8)</f>
        <v>83</v>
      </c>
    </row>
    <row r="9" spans="1:14">
      <c r="A9" s="2" t="s">
        <v>39</v>
      </c>
      <c r="B9" s="11">
        <v>5</v>
      </c>
      <c r="C9" s="12">
        <v>10</v>
      </c>
      <c r="D9" s="12">
        <v>11</v>
      </c>
      <c r="E9" s="12">
        <v>3</v>
      </c>
      <c r="F9" s="12">
        <v>10</v>
      </c>
      <c r="G9" s="12">
        <v>11</v>
      </c>
      <c r="H9" s="12">
        <v>4</v>
      </c>
      <c r="I9" s="12">
        <v>2</v>
      </c>
      <c r="J9" s="12">
        <v>4</v>
      </c>
      <c r="K9" s="12">
        <v>10</v>
      </c>
      <c r="L9" s="12">
        <v>3</v>
      </c>
      <c r="M9" s="13">
        <v>4</v>
      </c>
      <c r="N9" s="3">
        <f>SUM(B9:M9)</f>
        <v>77</v>
      </c>
    </row>
    <row r="10" spans="1:14">
      <c r="A10" s="2" t="s">
        <v>40</v>
      </c>
      <c r="B10" s="11">
        <v>7</v>
      </c>
      <c r="C10" s="12">
        <v>5</v>
      </c>
      <c r="D10" s="12">
        <v>5</v>
      </c>
      <c r="E10" s="12">
        <v>5</v>
      </c>
      <c r="F10" s="12">
        <v>1</v>
      </c>
      <c r="G10" s="12">
        <v>18</v>
      </c>
      <c r="H10" s="12">
        <v>0</v>
      </c>
      <c r="I10" s="12">
        <v>4</v>
      </c>
      <c r="J10" s="12">
        <v>8</v>
      </c>
      <c r="K10" s="12">
        <v>5</v>
      </c>
      <c r="L10" s="12">
        <v>8</v>
      </c>
      <c r="M10" s="13">
        <v>4</v>
      </c>
      <c r="N10" s="3">
        <f>SUM(B10:M10)</f>
        <v>70</v>
      </c>
    </row>
    <row r="11" spans="1:14">
      <c r="A11" s="2" t="s">
        <v>41</v>
      </c>
      <c r="B11" s="11">
        <v>5</v>
      </c>
      <c r="C11" s="12">
        <v>8</v>
      </c>
      <c r="D11" s="12">
        <v>5</v>
      </c>
      <c r="E11" s="12">
        <v>6</v>
      </c>
      <c r="F11" s="12">
        <v>9</v>
      </c>
      <c r="G11" s="12">
        <v>6</v>
      </c>
      <c r="H11" s="12">
        <v>2</v>
      </c>
      <c r="I11" s="12">
        <v>0</v>
      </c>
      <c r="J11" s="12">
        <v>7</v>
      </c>
      <c r="K11" s="12">
        <v>5</v>
      </c>
      <c r="L11" s="12">
        <v>1</v>
      </c>
      <c r="M11" s="13">
        <v>4</v>
      </c>
      <c r="N11" s="3">
        <f>SUM(B11:M11)</f>
        <v>58</v>
      </c>
    </row>
    <row r="12" spans="1:14">
      <c r="A12" s="2" t="s">
        <v>42</v>
      </c>
      <c r="B12" s="11">
        <v>1</v>
      </c>
      <c r="C12" s="12">
        <v>2</v>
      </c>
      <c r="D12" s="12">
        <v>5</v>
      </c>
      <c r="E12" s="12">
        <v>2</v>
      </c>
      <c r="F12" s="12">
        <v>5</v>
      </c>
      <c r="G12" s="12">
        <v>3</v>
      </c>
      <c r="H12" s="12">
        <v>4</v>
      </c>
      <c r="I12" s="12">
        <v>1</v>
      </c>
      <c r="J12" s="12">
        <v>4</v>
      </c>
      <c r="K12" s="12">
        <v>2</v>
      </c>
      <c r="L12" s="12">
        <v>3</v>
      </c>
      <c r="M12" s="13">
        <v>2</v>
      </c>
      <c r="N12" s="3">
        <f>SUM(B12:M12)</f>
        <v>34</v>
      </c>
    </row>
    <row r="13" spans="1:14">
      <c r="A13" s="2" t="s">
        <v>43</v>
      </c>
      <c r="B13" s="11">
        <v>1</v>
      </c>
      <c r="C13" s="12">
        <v>2</v>
      </c>
      <c r="D13" s="12">
        <v>3</v>
      </c>
      <c r="E13" s="12">
        <v>5</v>
      </c>
      <c r="F13" s="12">
        <v>2</v>
      </c>
      <c r="G13" s="12">
        <v>3</v>
      </c>
      <c r="H13" s="12">
        <v>0</v>
      </c>
      <c r="I13" s="12">
        <v>1</v>
      </c>
      <c r="J13" s="12">
        <v>3</v>
      </c>
      <c r="K13" s="12">
        <v>3</v>
      </c>
      <c r="L13" s="12">
        <v>2</v>
      </c>
      <c r="M13" s="13">
        <v>0</v>
      </c>
      <c r="N13" s="3">
        <f>SUM(B13:M13)</f>
        <v>25</v>
      </c>
    </row>
    <row r="14" spans="1:14">
      <c r="A14" s="2" t="s">
        <v>44</v>
      </c>
      <c r="B14" s="11">
        <v>2</v>
      </c>
      <c r="C14" s="12">
        <v>2</v>
      </c>
      <c r="D14" s="12">
        <v>3</v>
      </c>
      <c r="E14" s="12">
        <v>3</v>
      </c>
      <c r="F14" s="12">
        <v>3</v>
      </c>
      <c r="G14" s="12">
        <v>4</v>
      </c>
      <c r="H14" s="12">
        <v>6</v>
      </c>
      <c r="I14" s="12">
        <v>0</v>
      </c>
      <c r="J14" s="12">
        <v>3</v>
      </c>
      <c r="K14" s="12">
        <v>0</v>
      </c>
      <c r="L14" s="12">
        <v>1</v>
      </c>
      <c r="M14" s="13">
        <v>3</v>
      </c>
      <c r="N14" s="3">
        <f>SUM(B14:M14)</f>
        <v>30</v>
      </c>
    </row>
    <row r="15" spans="1:14">
      <c r="A15" s="2" t="s">
        <v>45</v>
      </c>
      <c r="B15" s="11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7</v>
      </c>
      <c r="M15" s="13">
        <v>6</v>
      </c>
      <c r="N15" s="3">
        <f>SUM(B15:M15)</f>
        <v>13</v>
      </c>
    </row>
    <row r="16" spans="1:14">
      <c r="A16" s="2" t="s">
        <v>46</v>
      </c>
      <c r="B16" s="11">
        <v>6</v>
      </c>
      <c r="C16" s="12">
        <v>1</v>
      </c>
      <c r="D16" s="12">
        <v>3</v>
      </c>
      <c r="E16" s="12">
        <v>2</v>
      </c>
      <c r="F16" s="12">
        <v>1</v>
      </c>
      <c r="G16" s="12">
        <v>0</v>
      </c>
      <c r="H16" s="12">
        <v>1</v>
      </c>
      <c r="I16" s="12">
        <v>3</v>
      </c>
      <c r="J16" s="12">
        <v>0</v>
      </c>
      <c r="K16" s="12">
        <v>0</v>
      </c>
      <c r="L16" s="12">
        <v>1</v>
      </c>
      <c r="M16" s="13">
        <v>1</v>
      </c>
      <c r="N16" s="3">
        <f>SUM(B16:M16)</f>
        <v>19</v>
      </c>
    </row>
    <row r="17" spans="1:14">
      <c r="A17" s="2" t="s">
        <v>47</v>
      </c>
      <c r="B17" s="11">
        <v>4</v>
      </c>
      <c r="C17" s="12">
        <v>3</v>
      </c>
      <c r="D17" s="12">
        <v>1</v>
      </c>
      <c r="E17" s="12">
        <v>3</v>
      </c>
      <c r="F17" s="12">
        <v>0</v>
      </c>
      <c r="G17" s="12">
        <v>1</v>
      </c>
      <c r="H17" s="12">
        <v>1</v>
      </c>
      <c r="I17" s="12">
        <v>0</v>
      </c>
      <c r="J17" s="12">
        <v>0</v>
      </c>
      <c r="K17" s="12">
        <v>0</v>
      </c>
      <c r="L17" s="12">
        <v>0</v>
      </c>
      <c r="M17" s="13">
        <v>0</v>
      </c>
      <c r="N17" s="3">
        <f>SUM(B17:M17)</f>
        <v>13</v>
      </c>
    </row>
    <row r="18" spans="1:14">
      <c r="A18" s="2" t="s">
        <v>48</v>
      </c>
      <c r="B18" s="14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1</v>
      </c>
      <c r="M18" s="16">
        <v>0</v>
      </c>
      <c r="N18" s="3">
        <f>SUM(B18:M18)</f>
        <v>1</v>
      </c>
    </row>
    <row r="19" spans="1:14">
      <c r="A19" s="4" t="s">
        <v>49</v>
      </c>
      <c r="B19" s="5">
        <f>SUM(B4:B18)</f>
        <v>139</v>
      </c>
      <c r="C19" s="5">
        <f>SUM(C4:C18)</f>
        <v>144</v>
      </c>
      <c r="D19" s="5">
        <f>SUM(D4:D18)</f>
        <v>160</v>
      </c>
      <c r="E19" s="5">
        <f>SUM(E4:E18)</f>
        <v>149</v>
      </c>
      <c r="F19" s="5">
        <f>SUM(F4:F18)</f>
        <v>129</v>
      </c>
      <c r="G19" s="5">
        <f>SUM(G4:G18)</f>
        <v>156</v>
      </c>
      <c r="H19" s="5">
        <f>SUM(H4:H18)</f>
        <v>182</v>
      </c>
      <c r="I19" s="5">
        <f>SUM(I4:I18)</f>
        <v>50</v>
      </c>
      <c r="J19" s="5">
        <f>SUM(J4:J18)</f>
        <v>149</v>
      </c>
      <c r="K19" s="5">
        <f>SUM(K4:K18)</f>
        <v>161</v>
      </c>
      <c r="L19" s="5">
        <f>SUM(L4:L18)</f>
        <v>186</v>
      </c>
      <c r="M19" s="5">
        <f>SUM(M4:M18)</f>
        <v>101</v>
      </c>
      <c r="N19" s="5">
        <f>SUM(B19:M19)</f>
        <v>1706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zoomScaleNormal="100" workbookViewId="0"/>
  </sheetViews>
  <sheetFormatPr defaultColWidth="8.7109375" defaultRowHeight="15"/>
  <cols>
    <col min="1" max="1" width="28" customWidth="1"/>
    <col min="2" max="14" width="14" customWidth="1"/>
  </cols>
  <sheetData>
    <row r="1" spans="1:14">
      <c r="A1" s="17" t="s">
        <v>50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3" spans="1:14">
      <c r="A3" s="1" t="s">
        <v>51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</row>
    <row r="4" spans="1:14">
      <c r="A4" s="2" t="s">
        <v>52</v>
      </c>
      <c r="B4" s="3">
        <f>43+4</f>
        <v>47</v>
      </c>
      <c r="C4" s="3">
        <f>49+3</f>
        <v>52</v>
      </c>
      <c r="D4" s="3">
        <f>35+2</f>
        <v>37</v>
      </c>
      <c r="E4" s="3">
        <v>21</v>
      </c>
      <c r="F4" s="3">
        <f>27+5</f>
        <v>32</v>
      </c>
      <c r="G4" s="3">
        <v>34</v>
      </c>
      <c r="H4" s="3">
        <f>50+4</f>
        <v>54</v>
      </c>
      <c r="I4" s="3">
        <v>10</v>
      </c>
      <c r="J4" s="3">
        <f>53+1</f>
        <v>54</v>
      </c>
      <c r="K4" s="3">
        <f>54+3</f>
        <v>57</v>
      </c>
      <c r="L4" s="3">
        <v>60</v>
      </c>
      <c r="M4" s="3">
        <f>14+6</f>
        <v>20</v>
      </c>
      <c r="N4" s="3">
        <f>SUM(B4:M4)</f>
        <v>478</v>
      </c>
    </row>
    <row r="5" spans="1:14">
      <c r="A5" s="2" t="s">
        <v>53</v>
      </c>
      <c r="B5" s="3">
        <v>16</v>
      </c>
      <c r="C5" s="3">
        <v>18</v>
      </c>
      <c r="D5" s="3">
        <v>28</v>
      </c>
      <c r="E5" s="3">
        <v>23</v>
      </c>
      <c r="F5" s="3">
        <v>21</v>
      </c>
      <c r="G5" s="3">
        <v>22</v>
      </c>
      <c r="H5" s="3">
        <v>30</v>
      </c>
      <c r="I5" s="3">
        <v>15</v>
      </c>
      <c r="J5" s="3">
        <v>26</v>
      </c>
      <c r="K5" s="3">
        <v>28</v>
      </c>
      <c r="L5" s="3">
        <v>29</v>
      </c>
      <c r="M5" s="3">
        <v>22</v>
      </c>
      <c r="N5" s="3">
        <f>SUM(B5:M5)</f>
        <v>278</v>
      </c>
    </row>
    <row r="6" spans="1:14">
      <c r="A6" s="2" t="s">
        <v>54</v>
      </c>
      <c r="B6" s="3">
        <v>7</v>
      </c>
      <c r="C6" s="3">
        <v>11</v>
      </c>
      <c r="D6" s="3">
        <v>13</v>
      </c>
      <c r="E6" s="3">
        <v>11</v>
      </c>
      <c r="F6" s="3">
        <v>10</v>
      </c>
      <c r="G6" s="3">
        <v>13</v>
      </c>
      <c r="H6" s="3">
        <v>7</v>
      </c>
      <c r="I6" s="3">
        <v>1</v>
      </c>
      <c r="J6" s="3">
        <v>7</v>
      </c>
      <c r="K6" s="3">
        <v>8</v>
      </c>
      <c r="L6" s="3">
        <v>18</v>
      </c>
      <c r="M6" s="3">
        <v>10</v>
      </c>
      <c r="N6" s="3">
        <f>SUM(B6:M6)</f>
        <v>116</v>
      </c>
    </row>
    <row r="7" spans="1:14">
      <c r="A7" s="2" t="s">
        <v>55</v>
      </c>
      <c r="B7" s="3">
        <v>1</v>
      </c>
      <c r="C7" s="3">
        <v>3</v>
      </c>
      <c r="D7" s="3">
        <v>5</v>
      </c>
      <c r="E7" s="3">
        <v>14</v>
      </c>
      <c r="F7" s="3">
        <v>11</v>
      </c>
      <c r="G7" s="3">
        <v>21</v>
      </c>
      <c r="H7" s="3">
        <v>27</v>
      </c>
      <c r="I7" s="3">
        <v>2</v>
      </c>
      <c r="J7" s="3">
        <v>5</v>
      </c>
      <c r="K7" s="3">
        <v>6</v>
      </c>
      <c r="L7" s="3">
        <v>11</v>
      </c>
      <c r="M7" s="3">
        <v>7</v>
      </c>
      <c r="N7" s="3">
        <f>SUM(B7:M7)</f>
        <v>113</v>
      </c>
    </row>
    <row r="8" spans="1:14">
      <c r="A8" s="2" t="s">
        <v>56</v>
      </c>
      <c r="B8" s="3">
        <v>11</v>
      </c>
      <c r="C8" s="3"/>
      <c r="D8" s="3">
        <v>7</v>
      </c>
      <c r="E8" s="3">
        <v>12</v>
      </c>
      <c r="F8" s="3">
        <v>7</v>
      </c>
      <c r="G8" s="3">
        <v>9</v>
      </c>
      <c r="H8" s="3">
        <v>1</v>
      </c>
      <c r="I8" s="3">
        <v>4</v>
      </c>
      <c r="J8" s="3">
        <v>4</v>
      </c>
      <c r="K8" s="3">
        <v>6</v>
      </c>
      <c r="L8" s="3">
        <v>5</v>
      </c>
      <c r="M8" s="3">
        <v>5</v>
      </c>
      <c r="N8" s="3">
        <f>SUM(B8:M8)</f>
        <v>71</v>
      </c>
    </row>
    <row r="9" spans="1:14">
      <c r="A9" s="2" t="s">
        <v>57</v>
      </c>
      <c r="B9" s="3">
        <v>1</v>
      </c>
      <c r="C9" s="3">
        <v>7</v>
      </c>
      <c r="D9" s="3">
        <v>7</v>
      </c>
      <c r="E9" s="3">
        <v>14</v>
      </c>
      <c r="F9" s="3">
        <v>5</v>
      </c>
      <c r="G9" s="3">
        <v>1</v>
      </c>
      <c r="H9" s="3">
        <v>10</v>
      </c>
      <c r="I9" s="3">
        <v>1</v>
      </c>
      <c r="J9" s="3">
        <v>2</v>
      </c>
      <c r="K9" s="3">
        <v>4</v>
      </c>
      <c r="L9" s="3">
        <v>9</v>
      </c>
      <c r="M9" s="3">
        <v>4</v>
      </c>
      <c r="N9" s="3">
        <f>SUM(B9:M9)</f>
        <v>65</v>
      </c>
    </row>
    <row r="10" spans="1:14">
      <c r="A10" s="2" t="s">
        <v>58</v>
      </c>
      <c r="B10" s="3">
        <v>2</v>
      </c>
      <c r="C10" s="3">
        <v>7</v>
      </c>
      <c r="D10" s="3">
        <v>6</v>
      </c>
      <c r="E10" s="3">
        <v>7</v>
      </c>
      <c r="F10" s="3">
        <v>4</v>
      </c>
      <c r="G10" s="3">
        <v>5</v>
      </c>
      <c r="H10" s="3">
        <v>1</v>
      </c>
      <c r="I10" s="3">
        <v>2</v>
      </c>
      <c r="J10" s="3">
        <v>3</v>
      </c>
      <c r="K10" s="3">
        <v>4</v>
      </c>
      <c r="L10" s="3">
        <v>7</v>
      </c>
      <c r="M10" s="3">
        <v>3</v>
      </c>
      <c r="N10" s="3">
        <f>SUM(B10:M10)</f>
        <v>51</v>
      </c>
    </row>
    <row r="11" spans="1:14">
      <c r="A11" s="2" t="s">
        <v>59</v>
      </c>
      <c r="B11" s="3">
        <v>8</v>
      </c>
      <c r="C11" s="3">
        <v>3</v>
      </c>
      <c r="D11" s="3">
        <v>4</v>
      </c>
      <c r="E11" s="3">
        <v>2</v>
      </c>
      <c r="F11" s="3">
        <v>3</v>
      </c>
      <c r="G11" s="3">
        <v>5</v>
      </c>
      <c r="H11" s="3">
        <v>1</v>
      </c>
      <c r="I11" s="3">
        <v>2</v>
      </c>
      <c r="J11" s="3">
        <v>2</v>
      </c>
      <c r="K11" s="3">
        <v>4</v>
      </c>
      <c r="L11" s="3">
        <v>1</v>
      </c>
      <c r="M11" s="3">
        <v>2</v>
      </c>
      <c r="N11" s="3">
        <f>SUM(B11:M11)</f>
        <v>37</v>
      </c>
    </row>
    <row r="12" spans="1:14">
      <c r="A12" s="2" t="s">
        <v>60</v>
      </c>
      <c r="B12" s="3">
        <v>2</v>
      </c>
      <c r="C12" s="3">
        <v>2</v>
      </c>
      <c r="D12" s="3">
        <v>6</v>
      </c>
      <c r="E12" s="3">
        <v>4</v>
      </c>
      <c r="F12" s="3">
        <v>4</v>
      </c>
      <c r="G12" s="3">
        <v>7</v>
      </c>
      <c r="H12" s="3">
        <v>1</v>
      </c>
      <c r="I12" s="3"/>
      <c r="J12" s="3">
        <v>1</v>
      </c>
      <c r="K12" s="3">
        <v>3</v>
      </c>
      <c r="L12" s="3">
        <v>4</v>
      </c>
      <c r="M12" s="3">
        <v>1</v>
      </c>
      <c r="N12" s="3">
        <f>SUM(B12:M12)</f>
        <v>35</v>
      </c>
    </row>
    <row r="13" spans="1:14">
      <c r="A13" s="2" t="s">
        <v>61</v>
      </c>
      <c r="B13" s="3">
        <v>4</v>
      </c>
      <c r="C13" s="3">
        <v>1</v>
      </c>
      <c r="D13" s="3">
        <v>2</v>
      </c>
      <c r="E13" s="3"/>
      <c r="F13" s="3">
        <v>2</v>
      </c>
      <c r="G13" s="3">
        <v>2</v>
      </c>
      <c r="H13" s="3">
        <v>3</v>
      </c>
      <c r="I13" s="3"/>
      <c r="J13" s="3">
        <v>6</v>
      </c>
      <c r="K13" s="3">
        <v>3</v>
      </c>
      <c r="L13" s="3">
        <v>3</v>
      </c>
      <c r="M13" s="3"/>
      <c r="N13" s="3">
        <f>SUM(B13:M13)</f>
        <v>26</v>
      </c>
    </row>
    <row r="14" spans="1:14">
      <c r="A14" s="2" t="s">
        <v>62</v>
      </c>
      <c r="B14" s="3">
        <v>1</v>
      </c>
      <c r="C14" s="3">
        <v>4</v>
      </c>
      <c r="D14" s="3">
        <v>5</v>
      </c>
      <c r="E14" s="3">
        <v>2</v>
      </c>
      <c r="F14" s="3">
        <v>1</v>
      </c>
      <c r="G14" s="3">
        <v>2</v>
      </c>
      <c r="H14" s="3">
        <v>2</v>
      </c>
      <c r="I14" s="3"/>
      <c r="J14" s="3">
        <v>4</v>
      </c>
      <c r="K14" s="3">
        <v>1</v>
      </c>
      <c r="L14" s="3">
        <v>3</v>
      </c>
      <c r="M14" s="3">
        <v>1</v>
      </c>
      <c r="N14" s="3">
        <f>SUM(B14:M14)</f>
        <v>26</v>
      </c>
    </row>
    <row r="15" spans="1:14">
      <c r="A15" s="2" t="s">
        <v>63</v>
      </c>
      <c r="B15" s="3">
        <v>4</v>
      </c>
      <c r="C15" s="3">
        <f>5+1</f>
        <v>6</v>
      </c>
      <c r="D15" s="3">
        <v>1</v>
      </c>
      <c r="E15" s="3"/>
      <c r="F15" s="3">
        <f>3+1</f>
        <v>4</v>
      </c>
      <c r="G15" s="3"/>
      <c r="H15" s="3">
        <v>6</v>
      </c>
      <c r="I15" s="3"/>
      <c r="J15" s="3"/>
      <c r="K15" s="3">
        <f>3+1</f>
        <v>4</v>
      </c>
      <c r="L15" s="3">
        <f>4+1</f>
        <v>5</v>
      </c>
      <c r="M15" s="3">
        <v>3</v>
      </c>
      <c r="N15" s="3">
        <f>SUM(B15:M15)</f>
        <v>33</v>
      </c>
    </row>
    <row r="16" spans="1:14">
      <c r="A16" s="2" t="s">
        <v>64</v>
      </c>
      <c r="B16" s="3">
        <v>5</v>
      </c>
      <c r="C16" s="3">
        <v>2</v>
      </c>
      <c r="D16" s="3">
        <v>2</v>
      </c>
      <c r="E16" s="3">
        <v>6</v>
      </c>
      <c r="F16" s="3"/>
      <c r="G16" s="3">
        <v>2</v>
      </c>
      <c r="H16" s="3"/>
      <c r="I16" s="3">
        <v>4</v>
      </c>
      <c r="J16" s="3">
        <v>1</v>
      </c>
      <c r="K16" s="3">
        <v>1</v>
      </c>
      <c r="L16" s="3"/>
      <c r="M16" s="3">
        <v>1</v>
      </c>
      <c r="N16" s="3">
        <f>SUM(B16:M16)</f>
        <v>24</v>
      </c>
    </row>
    <row r="17" spans="1:14">
      <c r="A17" s="2" t="s">
        <v>65</v>
      </c>
      <c r="B17" s="3">
        <f>4+23</f>
        <v>27</v>
      </c>
      <c r="C17" s="3">
        <f>3+21</f>
        <v>24</v>
      </c>
      <c r="D17" s="3">
        <v>26</v>
      </c>
      <c r="E17" s="3">
        <f>1+24</f>
        <v>25</v>
      </c>
      <c r="F17" s="3">
        <v>19</v>
      </c>
      <c r="G17" s="3">
        <f>1+27</f>
        <v>28</v>
      </c>
      <c r="H17" s="3">
        <f>2+23</f>
        <v>25</v>
      </c>
      <c r="I17" s="3">
        <v>2</v>
      </c>
      <c r="J17" s="3">
        <f>2+24</f>
        <v>26</v>
      </c>
      <c r="K17" s="3">
        <f>4+25</f>
        <v>29</v>
      </c>
      <c r="L17" s="3">
        <f>4+18</f>
        <v>22</v>
      </c>
      <c r="M17" s="3">
        <v>16</v>
      </c>
      <c r="N17" s="3">
        <f>SUM(B17:M17)</f>
        <v>269</v>
      </c>
    </row>
    <row r="18" spans="1:14">
      <c r="A18" s="2" t="s">
        <v>66</v>
      </c>
      <c r="B18" s="3"/>
      <c r="C18" s="3"/>
      <c r="D18" s="3">
        <v>2</v>
      </c>
      <c r="E18" s="3">
        <v>2</v>
      </c>
      <c r="F18" s="3">
        <v>2</v>
      </c>
      <c r="G18" s="3">
        <v>3</v>
      </c>
      <c r="H18" s="3">
        <v>3</v>
      </c>
      <c r="I18" s="3"/>
      <c r="J18" s="3">
        <v>3</v>
      </c>
      <c r="K18" s="3"/>
      <c r="L18" s="3">
        <v>2</v>
      </c>
      <c r="M18" s="3">
        <v>1</v>
      </c>
      <c r="N18" s="3">
        <f>SUM(B18:M18)</f>
        <v>18</v>
      </c>
    </row>
    <row r="19" spans="1:14">
      <c r="A19" s="2" t="s">
        <v>67</v>
      </c>
      <c r="B19" s="3"/>
      <c r="C19" s="3"/>
      <c r="D19" s="3">
        <v>2</v>
      </c>
      <c r="E19" s="3">
        <v>1</v>
      </c>
      <c r="F19" s="3">
        <v>3</v>
      </c>
      <c r="G19" s="3"/>
      <c r="H19" s="3">
        <v>1</v>
      </c>
      <c r="I19" s="3"/>
      <c r="J19" s="3"/>
      <c r="K19" s="3">
        <v>1</v>
      </c>
      <c r="L19" s="3">
        <v>3</v>
      </c>
      <c r="M19" s="3">
        <v>1</v>
      </c>
      <c r="N19" s="3">
        <f>SUM(B19:M19)</f>
        <v>12</v>
      </c>
    </row>
    <row r="20" spans="1:14">
      <c r="A20" s="2" t="s">
        <v>68</v>
      </c>
      <c r="B20" s="3">
        <v>2</v>
      </c>
      <c r="C20" s="3">
        <v>1</v>
      </c>
      <c r="D20" s="3">
        <v>2</v>
      </c>
      <c r="E20" s="3">
        <v>1</v>
      </c>
      <c r="F20" s="3"/>
      <c r="G20" s="3"/>
      <c r="H20" s="3"/>
      <c r="I20" s="3"/>
      <c r="J20" s="3">
        <v>2</v>
      </c>
      <c r="K20" s="3"/>
      <c r="L20" s="3">
        <v>3</v>
      </c>
      <c r="M20" s="3"/>
      <c r="N20" s="3">
        <f>SUM(B20:M20)</f>
        <v>11</v>
      </c>
    </row>
    <row r="21" spans="1:14">
      <c r="A21" s="2" t="s">
        <v>69</v>
      </c>
      <c r="B21" s="3"/>
      <c r="C21" s="3"/>
      <c r="D21" s="3">
        <v>1</v>
      </c>
      <c r="E21" s="3">
        <v>1</v>
      </c>
      <c r="F21" s="3"/>
      <c r="G21" s="3">
        <v>1</v>
      </c>
      <c r="H21" s="3"/>
      <c r="I21" s="3">
        <v>3</v>
      </c>
      <c r="J21" s="3">
        <v>2</v>
      </c>
      <c r="K21" s="3">
        <v>1</v>
      </c>
      <c r="L21" s="3"/>
      <c r="M21" s="3"/>
      <c r="N21" s="3">
        <f>SUM(B21:M21)</f>
        <v>9</v>
      </c>
    </row>
    <row r="22" spans="1:14">
      <c r="A22" s="2" t="s">
        <v>70</v>
      </c>
      <c r="B22" s="3"/>
      <c r="C22" s="3">
        <v>2</v>
      </c>
      <c r="D22" s="3"/>
      <c r="E22" s="3"/>
      <c r="F22" s="3"/>
      <c r="G22" s="3"/>
      <c r="H22" s="3">
        <v>2</v>
      </c>
      <c r="I22" s="3"/>
      <c r="J22" s="3">
        <v>2</v>
      </c>
      <c r="K22" s="3">
        <v>1</v>
      </c>
      <c r="L22" s="3"/>
      <c r="M22" s="3">
        <v>1</v>
      </c>
      <c r="N22" s="3">
        <f>SUM(B22:M22)</f>
        <v>8</v>
      </c>
    </row>
    <row r="23" spans="1:14">
      <c r="A23" s="2" t="s">
        <v>71</v>
      </c>
      <c r="B23" s="3"/>
      <c r="C23" s="3"/>
      <c r="D23" s="3"/>
      <c r="E23" s="3"/>
      <c r="F23" s="3">
        <v>1</v>
      </c>
      <c r="G23" s="3">
        <v>1</v>
      </c>
      <c r="H23" s="3">
        <v>3</v>
      </c>
      <c r="I23" s="3"/>
      <c r="J23" s="3">
        <v>1</v>
      </c>
      <c r="K23" s="3"/>
      <c r="L23" s="3">
        <v>1</v>
      </c>
      <c r="M23" s="3"/>
      <c r="N23" s="3">
        <f>SUM(B23:M23)</f>
        <v>7</v>
      </c>
    </row>
    <row r="24" spans="1:14">
      <c r="A24" s="2" t="s">
        <v>72</v>
      </c>
      <c r="B24" s="3">
        <v>1</v>
      </c>
      <c r="C24" s="3"/>
      <c r="D24" s="3"/>
      <c r="E24" s="3">
        <v>1</v>
      </c>
      <c r="F24" s="3">
        <v>1</v>
      </c>
      <c r="G24" s="3">
        <v>1</v>
      </c>
      <c r="H24" s="3"/>
      <c r="I24" s="3"/>
      <c r="J24" s="3"/>
      <c r="K24" s="3">
        <v>1</v>
      </c>
      <c r="L24" s="3">
        <v>1</v>
      </c>
      <c r="M24" s="3"/>
      <c r="N24" s="3">
        <f>SUM(B24:M24)</f>
        <v>6</v>
      </c>
    </row>
    <row r="25" spans="1:14">
      <c r="A25" s="2" t="s">
        <v>73</v>
      </c>
      <c r="B25" s="3"/>
      <c r="C25" s="3"/>
      <c r="D25" s="3">
        <v>2</v>
      </c>
      <c r="E25" s="3">
        <v>1</v>
      </c>
      <c r="F25" s="3"/>
      <c r="G25" s="3">
        <v>1</v>
      </c>
      <c r="H25" s="3"/>
      <c r="I25" s="3">
        <v>1</v>
      </c>
      <c r="J25" s="3"/>
      <c r="K25" s="3"/>
      <c r="L25" s="3"/>
      <c r="M25" s="3"/>
      <c r="N25" s="3">
        <f>SUM(B25:M25)</f>
        <v>5</v>
      </c>
    </row>
    <row r="26" spans="1:14">
      <c r="A26" s="2" t="s">
        <v>74</v>
      </c>
      <c r="B26" s="3">
        <v>1</v>
      </c>
      <c r="C26" s="3"/>
      <c r="D26" s="3">
        <v>1</v>
      </c>
      <c r="E26" s="3">
        <v>1</v>
      </c>
      <c r="F26" s="3"/>
      <c r="G26" s="3"/>
      <c r="H26" s="3"/>
      <c r="I26" s="3"/>
      <c r="J26" s="3"/>
      <c r="K26" s="3"/>
      <c r="L26" s="3"/>
      <c r="M26" s="3"/>
      <c r="N26" s="3">
        <f>SUM(B26:M26)</f>
        <v>3</v>
      </c>
    </row>
    <row r="27" spans="1:14">
      <c r="A27" s="2" t="s">
        <v>75</v>
      </c>
      <c r="B27" s="3">
        <v>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>
        <v>1</v>
      </c>
      <c r="N27" s="3">
        <f>SUM(B27:M27)</f>
        <v>3</v>
      </c>
    </row>
    <row r="28" spans="1:14">
      <c r="A28" s="2" t="s">
        <v>76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>
        <v>1</v>
      </c>
      <c r="N28" s="3">
        <f>SUM(B28:M28)</f>
        <v>1</v>
      </c>
    </row>
    <row r="29" spans="1:14">
      <c r="A29" s="2" t="s">
        <v>77</v>
      </c>
      <c r="B29" s="3"/>
      <c r="C29" s="3"/>
      <c r="D29" s="3">
        <v>1</v>
      </c>
      <c r="E29" s="3"/>
      <c r="F29" s="3"/>
      <c r="G29" s="3"/>
      <c r="H29" s="3"/>
      <c r="I29" s="3"/>
      <c r="J29" s="3"/>
      <c r="K29" s="3"/>
      <c r="L29" s="3"/>
      <c r="M29" s="3"/>
      <c r="N29" s="3">
        <f>SUM(B29:M29)</f>
        <v>1</v>
      </c>
    </row>
    <row r="30" spans="1:14">
      <c r="A30" s="2" t="s">
        <v>78</v>
      </c>
      <c r="B30" s="3"/>
      <c r="C30" s="3"/>
      <c r="D30" s="3"/>
      <c r="E30" s="3">
        <v>1</v>
      </c>
      <c r="F30" s="3"/>
      <c r="G30" s="3"/>
      <c r="H30" s="3"/>
      <c r="I30" s="3"/>
      <c r="J30" s="3"/>
      <c r="K30" s="3"/>
      <c r="L30" s="3"/>
      <c r="M30" s="3"/>
      <c r="N30" s="3">
        <f>SUM(B30:M30)</f>
        <v>1</v>
      </c>
    </row>
    <row r="31" spans="1:14">
      <c r="A31" s="4" t="s">
        <v>49</v>
      </c>
      <c r="B31" s="5">
        <f>SUM(B4:B30)</f>
        <v>142</v>
      </c>
      <c r="C31" s="5">
        <f>SUM(C4:C30)</f>
        <v>143</v>
      </c>
      <c r="D31" s="5">
        <f>SUM(D4:D30)</f>
        <v>160</v>
      </c>
      <c r="E31" s="5">
        <f>SUM(E4:E30)</f>
        <v>150</v>
      </c>
      <c r="F31" s="5">
        <f>SUM(F4:F30)</f>
        <v>130</v>
      </c>
      <c r="G31" s="5">
        <f>SUM(G4:G30)</f>
        <v>158</v>
      </c>
      <c r="H31" s="5">
        <f>SUM(H4:H30)</f>
        <v>177</v>
      </c>
      <c r="I31" s="5">
        <f>SUM(I4:I30)</f>
        <v>47</v>
      </c>
      <c r="J31" s="5">
        <f>SUM(J4:J30)</f>
        <v>151</v>
      </c>
      <c r="K31" s="5">
        <f>SUM(K4:K30)</f>
        <v>162</v>
      </c>
      <c r="L31" s="5">
        <f>SUM(L4:L30)</f>
        <v>187</v>
      </c>
      <c r="M31" s="5">
        <f>SUM(M4:M30)</f>
        <v>100</v>
      </c>
      <c r="N31" s="5">
        <f>SUM(B31:M31)</f>
        <v>1707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zoomScaleNormal="100" workbookViewId="0"/>
  </sheetViews>
  <sheetFormatPr defaultColWidth="8.7109375" defaultRowHeight="15"/>
  <cols>
    <col min="1" max="1" width="28" customWidth="1"/>
    <col min="2" max="14" width="14" customWidth="1"/>
  </cols>
  <sheetData>
    <row r="1" spans="1:14">
      <c r="A1" s="17" t="s">
        <v>79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3" spans="1:14">
      <c r="A3" s="1" t="s">
        <v>51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</row>
    <row r="4" spans="1:14">
      <c r="A4" s="2" t="s">
        <v>78</v>
      </c>
      <c r="B4" s="3">
        <v>98.5</v>
      </c>
      <c r="C4" s="3">
        <v>107.5</v>
      </c>
      <c r="D4" s="3">
        <v>150.75</v>
      </c>
      <c r="E4" s="3">
        <v>96.25</v>
      </c>
      <c r="F4" s="3">
        <v>198</v>
      </c>
      <c r="G4" s="3">
        <v>129.5</v>
      </c>
      <c r="H4" s="3">
        <v>178</v>
      </c>
      <c r="I4" s="3">
        <v>198.5</v>
      </c>
      <c r="J4" s="3">
        <v>120.75</v>
      </c>
      <c r="K4" s="3">
        <v>248</v>
      </c>
      <c r="L4" s="3">
        <v>124</v>
      </c>
      <c r="M4" s="3">
        <v>183.75</v>
      </c>
      <c r="N4" s="3">
        <f>SUM(B4:M4)</f>
        <v>1833.5</v>
      </c>
    </row>
    <row r="5" spans="1:14">
      <c r="A5" s="2" t="s">
        <v>52</v>
      </c>
      <c r="B5" s="3">
        <f>143.5+20</f>
        <v>163.5</v>
      </c>
      <c r="C5" s="3">
        <f>107.25+2</f>
        <v>109.25</v>
      </c>
      <c r="D5" s="3">
        <f>77.5+29</f>
        <v>106.5</v>
      </c>
      <c r="E5" s="3">
        <v>49.25</v>
      </c>
      <c r="F5" s="3">
        <f>44.75+18.5</f>
        <v>63.25</v>
      </c>
      <c r="G5" s="3">
        <v>84</v>
      </c>
      <c r="H5" s="3">
        <f>48.5+21.75</f>
        <v>70.25</v>
      </c>
      <c r="I5" s="3">
        <f>17.25+0</f>
        <v>17.25</v>
      </c>
      <c r="J5" s="3">
        <f>162.5+7</f>
        <v>169.5</v>
      </c>
      <c r="K5" s="3">
        <f>235.15+8.5</f>
        <v>243.65</v>
      </c>
      <c r="L5" s="3">
        <v>171</v>
      </c>
      <c r="M5" s="3">
        <f>57.75+8</f>
        <v>65.75</v>
      </c>
      <c r="N5" s="3">
        <f>SUM(B5:M5)</f>
        <v>1313.15</v>
      </c>
    </row>
    <row r="6" spans="1:14">
      <c r="A6" s="2" t="s">
        <v>53</v>
      </c>
      <c r="B6" s="3">
        <v>112.5</v>
      </c>
      <c r="C6" s="3">
        <v>80.25</v>
      </c>
      <c r="D6" s="3">
        <v>120.1</v>
      </c>
      <c r="E6" s="3">
        <v>98</v>
      </c>
      <c r="F6" s="3">
        <v>61.5</v>
      </c>
      <c r="G6" s="3">
        <v>153.75</v>
      </c>
      <c r="H6" s="3">
        <v>82</v>
      </c>
      <c r="I6" s="3">
        <v>31</v>
      </c>
      <c r="J6" s="3">
        <v>68.25</v>
      </c>
      <c r="K6" s="3">
        <v>63.5</v>
      </c>
      <c r="L6" s="3">
        <v>38.5</v>
      </c>
      <c r="M6" s="3">
        <v>52</v>
      </c>
      <c r="N6" s="3">
        <f>SUM(B6:M6)</f>
        <v>961.35</v>
      </c>
    </row>
    <row r="7" spans="1:14">
      <c r="A7" s="2" t="s">
        <v>54</v>
      </c>
      <c r="B7" s="3">
        <v>27.5</v>
      </c>
      <c r="C7" s="3">
        <v>100</v>
      </c>
      <c r="D7" s="3">
        <v>94.5</v>
      </c>
      <c r="E7" s="3">
        <v>65.5</v>
      </c>
      <c r="F7" s="3">
        <v>96.5</v>
      </c>
      <c r="G7" s="3">
        <v>89.5</v>
      </c>
      <c r="H7" s="3">
        <v>16.5</v>
      </c>
      <c r="I7" s="3">
        <v>2.5</v>
      </c>
      <c r="J7" s="3">
        <v>59.5</v>
      </c>
      <c r="K7" s="3">
        <v>76.5</v>
      </c>
      <c r="L7" s="3">
        <v>48.25</v>
      </c>
      <c r="M7" s="3">
        <v>105</v>
      </c>
      <c r="N7" s="3">
        <f>SUM(B7:M7)</f>
        <v>781.75</v>
      </c>
    </row>
    <row r="8" spans="1:14">
      <c r="A8" s="2" t="s">
        <v>57</v>
      </c>
      <c r="B8" s="3">
        <v>4</v>
      </c>
      <c r="C8" s="3">
        <v>53.5</v>
      </c>
      <c r="D8" s="3">
        <v>56</v>
      </c>
      <c r="E8" s="3">
        <v>72</v>
      </c>
      <c r="F8" s="3">
        <v>33.5</v>
      </c>
      <c r="G8" s="3">
        <v>2.5</v>
      </c>
      <c r="H8" s="3">
        <v>54.25</v>
      </c>
      <c r="I8" s="3">
        <v>7.5</v>
      </c>
      <c r="J8" s="3">
        <v>2.25</v>
      </c>
      <c r="K8" s="3">
        <v>10.5</v>
      </c>
      <c r="L8" s="3">
        <v>71.25</v>
      </c>
      <c r="M8" s="3">
        <v>30</v>
      </c>
      <c r="N8" s="3">
        <f>SUM(B8:M8)</f>
        <v>397.25</v>
      </c>
    </row>
    <row r="9" spans="1:14">
      <c r="A9" s="2" t="s">
        <v>55</v>
      </c>
      <c r="B9" s="3">
        <v>6</v>
      </c>
      <c r="C9" s="3">
        <v>60.5</v>
      </c>
      <c r="D9" s="3">
        <v>29.5</v>
      </c>
      <c r="E9" s="3">
        <v>16.5</v>
      </c>
      <c r="F9" s="3">
        <v>23</v>
      </c>
      <c r="G9" s="3">
        <v>24.25</v>
      </c>
      <c r="H9" s="3">
        <v>35</v>
      </c>
      <c r="I9" s="3">
        <v>3.25</v>
      </c>
      <c r="J9" s="3">
        <v>8</v>
      </c>
      <c r="K9" s="3">
        <v>14.65</v>
      </c>
      <c r="L9" s="3">
        <v>10</v>
      </c>
      <c r="M9" s="3">
        <v>14.5</v>
      </c>
      <c r="N9" s="3">
        <f>SUM(B9:M9)</f>
        <v>245.15</v>
      </c>
    </row>
    <row r="10" spans="1:14">
      <c r="A10" s="2" t="s">
        <v>56</v>
      </c>
      <c r="B10" s="3">
        <v>43.5</v>
      </c>
      <c r="C10" s="3"/>
      <c r="D10" s="3">
        <v>20.5</v>
      </c>
      <c r="E10" s="3">
        <v>46</v>
      </c>
      <c r="F10" s="3">
        <v>15</v>
      </c>
      <c r="G10" s="3">
        <v>34</v>
      </c>
      <c r="H10" s="3">
        <v>6</v>
      </c>
      <c r="I10" s="3">
        <v>14</v>
      </c>
      <c r="J10" s="3">
        <v>10</v>
      </c>
      <c r="K10" s="3">
        <v>4</v>
      </c>
      <c r="L10" s="3">
        <v>10.25</v>
      </c>
      <c r="M10" s="3">
        <v>14</v>
      </c>
      <c r="N10" s="3">
        <f>SUM(B10:M10)</f>
        <v>217.25</v>
      </c>
    </row>
    <row r="11" spans="1:14">
      <c r="A11" s="2" t="s">
        <v>58</v>
      </c>
      <c r="B11" s="3">
        <v>5</v>
      </c>
      <c r="C11" s="3">
        <v>25.5</v>
      </c>
      <c r="D11" s="3">
        <v>24</v>
      </c>
      <c r="E11" s="3">
        <v>41</v>
      </c>
      <c r="F11" s="3">
        <v>24</v>
      </c>
      <c r="G11" s="3">
        <v>36</v>
      </c>
      <c r="H11" s="3">
        <v>3</v>
      </c>
      <c r="I11" s="3">
        <v>5.5</v>
      </c>
      <c r="J11" s="3">
        <v>6</v>
      </c>
      <c r="K11" s="3">
        <v>12</v>
      </c>
      <c r="L11" s="3">
        <v>12.5</v>
      </c>
      <c r="M11" s="3">
        <v>21</v>
      </c>
      <c r="N11" s="3">
        <f>SUM(B11:M11)</f>
        <v>215.5</v>
      </c>
    </row>
    <row r="12" spans="1:14">
      <c r="A12" s="2" t="s">
        <v>62</v>
      </c>
      <c r="B12" s="3">
        <v>10</v>
      </c>
      <c r="C12" s="3">
        <v>47.5</v>
      </c>
      <c r="D12" s="3">
        <v>39</v>
      </c>
      <c r="E12" s="3">
        <v>6</v>
      </c>
      <c r="F12" s="3">
        <v>16.5</v>
      </c>
      <c r="G12" s="3">
        <v>5</v>
      </c>
      <c r="H12" s="3">
        <v>9.5</v>
      </c>
      <c r="I12" s="3"/>
      <c r="J12" s="3">
        <v>34.5</v>
      </c>
      <c r="K12" s="3">
        <v>0.25</v>
      </c>
      <c r="L12" s="3">
        <v>11.25</v>
      </c>
      <c r="M12" s="3">
        <v>1</v>
      </c>
      <c r="N12" s="3">
        <f>SUM(B12:M12)</f>
        <v>180.5</v>
      </c>
    </row>
    <row r="13" spans="1:14">
      <c r="A13" s="2" t="s">
        <v>61</v>
      </c>
      <c r="B13" s="3">
        <v>46.5</v>
      </c>
      <c r="C13" s="3">
        <v>10.5</v>
      </c>
      <c r="D13" s="3">
        <v>11.5</v>
      </c>
      <c r="E13" s="3"/>
      <c r="F13" s="3">
        <v>21.5</v>
      </c>
      <c r="G13" s="3">
        <v>4</v>
      </c>
      <c r="H13" s="3">
        <v>31.5</v>
      </c>
      <c r="I13" s="3"/>
      <c r="J13" s="3">
        <v>11.75</v>
      </c>
      <c r="K13" s="3">
        <v>37.5</v>
      </c>
      <c r="L13" s="3">
        <v>5.25</v>
      </c>
      <c r="M13" s="3"/>
      <c r="N13" s="3">
        <f>SUM(B13:M13)</f>
        <v>180</v>
      </c>
    </row>
    <row r="14" spans="1:14">
      <c r="A14" s="2" t="s">
        <v>59</v>
      </c>
      <c r="B14" s="3">
        <v>43.5</v>
      </c>
      <c r="C14" s="3">
        <v>19</v>
      </c>
      <c r="D14" s="3">
        <v>21.75</v>
      </c>
      <c r="E14" s="3">
        <v>7</v>
      </c>
      <c r="F14" s="3">
        <v>8.5</v>
      </c>
      <c r="G14" s="3">
        <v>18</v>
      </c>
      <c r="H14" s="3">
        <v>5.25</v>
      </c>
      <c r="I14" s="3">
        <v>5</v>
      </c>
      <c r="J14" s="3">
        <v>5</v>
      </c>
      <c r="K14" s="3">
        <v>23.5</v>
      </c>
      <c r="L14" s="3">
        <v>3</v>
      </c>
      <c r="M14" s="3">
        <v>4</v>
      </c>
      <c r="N14" s="3">
        <f>SUM(B14:M14)</f>
        <v>163.5</v>
      </c>
    </row>
    <row r="15" spans="1:14">
      <c r="A15" s="2" t="s">
        <v>63</v>
      </c>
      <c r="B15" s="3">
        <v>30</v>
      </c>
      <c r="C15" s="3">
        <f>21+2</f>
        <v>23</v>
      </c>
      <c r="D15" s="3">
        <v>1</v>
      </c>
      <c r="E15" s="3"/>
      <c r="F15" s="3">
        <f>12+1</f>
        <v>13</v>
      </c>
      <c r="G15" s="3"/>
      <c r="H15" s="3">
        <v>32.5</v>
      </c>
      <c r="I15" s="3"/>
      <c r="J15" s="3"/>
      <c r="K15" s="3">
        <f>8.5+13</f>
        <v>21.5</v>
      </c>
      <c r="L15" s="3">
        <f>19+6.5</f>
        <v>25.5</v>
      </c>
      <c r="M15" s="3">
        <v>36.5</v>
      </c>
      <c r="N15" s="3">
        <f>SUM(B15:M15)</f>
        <v>183</v>
      </c>
    </row>
    <row r="16" spans="1:14">
      <c r="A16" s="2" t="s">
        <v>67</v>
      </c>
      <c r="B16" s="3"/>
      <c r="C16" s="3"/>
      <c r="D16" s="3">
        <v>18</v>
      </c>
      <c r="E16" s="3">
        <v>4</v>
      </c>
      <c r="F16" s="3">
        <v>30</v>
      </c>
      <c r="G16" s="3"/>
      <c r="H16" s="3">
        <v>13</v>
      </c>
      <c r="I16" s="3"/>
      <c r="J16" s="3"/>
      <c r="K16" s="3">
        <v>0.75</v>
      </c>
      <c r="L16" s="3">
        <v>32.75</v>
      </c>
      <c r="M16" s="3">
        <v>8</v>
      </c>
      <c r="N16" s="3">
        <f>SUM(B16:M16)</f>
        <v>106.5</v>
      </c>
    </row>
    <row r="17" spans="1:14">
      <c r="A17" s="2" t="s">
        <v>65</v>
      </c>
      <c r="B17" s="3">
        <v>24</v>
      </c>
      <c r="C17" s="3">
        <v>10.25</v>
      </c>
      <c r="D17" s="3"/>
      <c r="E17" s="3">
        <v>10.5</v>
      </c>
      <c r="F17" s="3"/>
      <c r="G17" s="3">
        <v>9.5</v>
      </c>
      <c r="H17" s="3">
        <v>4</v>
      </c>
      <c r="I17" s="3">
        <v>11.5</v>
      </c>
      <c r="J17" s="3">
        <v>17.5</v>
      </c>
      <c r="K17" s="3">
        <v>5.5</v>
      </c>
      <c r="L17" s="3">
        <v>9</v>
      </c>
      <c r="M17" s="3"/>
      <c r="N17" s="3">
        <f>SUM(B17:M17)</f>
        <v>101.75</v>
      </c>
    </row>
    <row r="18" spans="1:14">
      <c r="A18" s="2" t="s">
        <v>64</v>
      </c>
      <c r="B18" s="3">
        <v>7</v>
      </c>
      <c r="C18" s="3">
        <v>8</v>
      </c>
      <c r="D18" s="3">
        <v>3</v>
      </c>
      <c r="E18" s="3">
        <v>26</v>
      </c>
      <c r="F18" s="3"/>
      <c r="G18" s="3">
        <v>6.5</v>
      </c>
      <c r="H18" s="3"/>
      <c r="I18" s="3">
        <v>16</v>
      </c>
      <c r="J18" s="3">
        <v>6</v>
      </c>
      <c r="K18" s="3">
        <v>1</v>
      </c>
      <c r="L18" s="3"/>
      <c r="M18" s="3">
        <v>4</v>
      </c>
      <c r="N18" s="3">
        <f>SUM(B18:M18)</f>
        <v>77.5</v>
      </c>
    </row>
    <row r="19" spans="1:14">
      <c r="A19" s="2" t="s">
        <v>60</v>
      </c>
      <c r="B19" s="3">
        <v>3</v>
      </c>
      <c r="C19" s="3">
        <v>5</v>
      </c>
      <c r="D19" s="3">
        <v>10.5</v>
      </c>
      <c r="E19" s="3">
        <v>8.25</v>
      </c>
      <c r="F19" s="3">
        <v>6.5</v>
      </c>
      <c r="G19" s="3">
        <v>7.25</v>
      </c>
      <c r="H19" s="3">
        <v>2</v>
      </c>
      <c r="I19" s="3"/>
      <c r="J19" s="3">
        <v>3</v>
      </c>
      <c r="K19" s="3">
        <v>12.25</v>
      </c>
      <c r="L19" s="3">
        <v>6.75</v>
      </c>
      <c r="M19" s="3">
        <v>11.25</v>
      </c>
      <c r="N19" s="3">
        <f>SUM(B19:M19)</f>
        <v>75.75</v>
      </c>
    </row>
    <row r="20" spans="1:14">
      <c r="A20" s="2" t="s">
        <v>66</v>
      </c>
      <c r="B20" s="3"/>
      <c r="C20" s="3"/>
      <c r="D20" s="3">
        <v>8</v>
      </c>
      <c r="E20" s="3">
        <v>4.5</v>
      </c>
      <c r="F20" s="3">
        <v>7</v>
      </c>
      <c r="G20" s="3">
        <v>20</v>
      </c>
      <c r="H20" s="3">
        <v>16.5</v>
      </c>
      <c r="I20" s="3"/>
      <c r="J20" s="3">
        <v>10</v>
      </c>
      <c r="K20" s="3"/>
      <c r="L20" s="3">
        <v>5</v>
      </c>
      <c r="M20" s="3">
        <v>0.5</v>
      </c>
      <c r="N20" s="3">
        <f>SUM(B20:M20)</f>
        <v>71.5</v>
      </c>
    </row>
    <row r="21" spans="1:14">
      <c r="A21" s="2" t="s">
        <v>70</v>
      </c>
      <c r="B21" s="3"/>
      <c r="C21" s="3">
        <v>11.5</v>
      </c>
      <c r="D21" s="3"/>
      <c r="E21" s="3"/>
      <c r="F21" s="3"/>
      <c r="G21" s="3"/>
      <c r="H21" s="3">
        <v>28.5</v>
      </c>
      <c r="I21" s="3"/>
      <c r="J21" s="3">
        <v>7</v>
      </c>
      <c r="K21" s="3">
        <v>19.5</v>
      </c>
      <c r="L21" s="3"/>
      <c r="M21" s="3">
        <v>1</v>
      </c>
      <c r="N21" s="3">
        <f>SUM(B21:M21)</f>
        <v>67.5</v>
      </c>
    </row>
    <row r="22" spans="1:14">
      <c r="A22" s="2" t="s">
        <v>68</v>
      </c>
      <c r="B22" s="3">
        <v>1</v>
      </c>
      <c r="C22" s="3">
        <v>8</v>
      </c>
      <c r="D22" s="3">
        <v>5</v>
      </c>
      <c r="E22" s="3">
        <v>6.5</v>
      </c>
      <c r="F22" s="3"/>
      <c r="G22" s="3"/>
      <c r="H22" s="3"/>
      <c r="I22" s="3"/>
      <c r="J22" s="3">
        <v>22.5</v>
      </c>
      <c r="K22" s="3"/>
      <c r="L22" s="3">
        <v>20.5</v>
      </c>
      <c r="M22" s="3"/>
      <c r="N22" s="3">
        <f>SUM(B22:M22)</f>
        <v>63.5</v>
      </c>
    </row>
    <row r="23" spans="1:14">
      <c r="A23" s="2" t="s">
        <v>71</v>
      </c>
      <c r="B23" s="3"/>
      <c r="C23" s="3"/>
      <c r="D23" s="3"/>
      <c r="E23" s="3"/>
      <c r="F23" s="3">
        <v>9</v>
      </c>
      <c r="G23" s="3">
        <v>8.5</v>
      </c>
      <c r="H23" s="3">
        <v>11</v>
      </c>
      <c r="I23" s="3"/>
      <c r="J23" s="3">
        <v>9.75</v>
      </c>
      <c r="K23" s="3"/>
      <c r="L23" s="3">
        <v>13</v>
      </c>
      <c r="M23" s="3"/>
      <c r="N23" s="3">
        <f>SUM(B23:M23)</f>
        <v>51.25</v>
      </c>
    </row>
    <row r="24" spans="1:14">
      <c r="A24" s="2" t="s">
        <v>69</v>
      </c>
      <c r="B24" s="3"/>
      <c r="C24" s="3"/>
      <c r="D24" s="3">
        <v>2.75</v>
      </c>
      <c r="E24" s="3">
        <v>3</v>
      </c>
      <c r="F24" s="3"/>
      <c r="G24" s="3">
        <v>2</v>
      </c>
      <c r="H24" s="3"/>
      <c r="I24" s="3">
        <v>21</v>
      </c>
      <c r="J24" s="3">
        <v>3</v>
      </c>
      <c r="K24" s="3">
        <v>2</v>
      </c>
      <c r="L24" s="3"/>
      <c r="M24" s="3"/>
      <c r="N24" s="3">
        <f>SUM(B24:M24)</f>
        <v>33.75</v>
      </c>
    </row>
    <row r="25" spans="1:14">
      <c r="A25" s="2" t="s">
        <v>74</v>
      </c>
      <c r="B25" s="3">
        <v>7</v>
      </c>
      <c r="C25" s="3"/>
      <c r="D25" s="3">
        <v>3</v>
      </c>
      <c r="E25" s="3">
        <v>20</v>
      </c>
      <c r="F25" s="3"/>
      <c r="G25" s="3"/>
      <c r="H25" s="3"/>
      <c r="I25" s="3"/>
      <c r="J25" s="3"/>
      <c r="K25" s="3"/>
      <c r="L25" s="3"/>
      <c r="M25" s="3"/>
      <c r="N25" s="3">
        <f>SUM(B25:M25)</f>
        <v>30</v>
      </c>
    </row>
    <row r="26" spans="1:14">
      <c r="A26" s="2" t="s">
        <v>72</v>
      </c>
      <c r="B26" s="3">
        <v>9</v>
      </c>
      <c r="C26" s="3"/>
      <c r="D26" s="3"/>
      <c r="E26" s="3">
        <v>13</v>
      </c>
      <c r="F26" s="3">
        <v>5</v>
      </c>
      <c r="G26" s="3">
        <v>1</v>
      </c>
      <c r="H26" s="3"/>
      <c r="I26" s="3"/>
      <c r="J26" s="3"/>
      <c r="K26" s="3">
        <v>0.5</v>
      </c>
      <c r="L26" s="3">
        <v>1</v>
      </c>
      <c r="M26" s="3"/>
      <c r="N26" s="3">
        <f>SUM(B26:M26)</f>
        <v>29.5</v>
      </c>
    </row>
    <row r="27" spans="1:14">
      <c r="A27" s="2" t="s">
        <v>75</v>
      </c>
      <c r="B27" s="3">
        <v>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>
        <v>15</v>
      </c>
      <c r="N27" s="3">
        <f>SUM(B27:M27)</f>
        <v>18</v>
      </c>
    </row>
    <row r="28" spans="1:14">
      <c r="A28" s="2" t="s">
        <v>73</v>
      </c>
      <c r="B28" s="3"/>
      <c r="C28" s="3"/>
      <c r="D28" s="3">
        <v>7</v>
      </c>
      <c r="E28" s="3">
        <v>0.5</v>
      </c>
      <c r="F28" s="3"/>
      <c r="G28" s="3">
        <v>4</v>
      </c>
      <c r="H28" s="3"/>
      <c r="I28" s="3">
        <v>3</v>
      </c>
      <c r="J28" s="3"/>
      <c r="K28" s="3"/>
      <c r="L28" s="3"/>
      <c r="M28" s="3"/>
      <c r="N28" s="3">
        <f>SUM(B28:M28)</f>
        <v>14.5</v>
      </c>
    </row>
    <row r="29" spans="1:14">
      <c r="A29" s="2" t="s">
        <v>77</v>
      </c>
      <c r="B29" s="3"/>
      <c r="C29" s="3"/>
      <c r="D29" s="3">
        <v>11</v>
      </c>
      <c r="E29" s="3"/>
      <c r="F29" s="3"/>
      <c r="G29" s="3"/>
      <c r="H29" s="3"/>
      <c r="I29" s="3"/>
      <c r="J29" s="3"/>
      <c r="K29" s="3"/>
      <c r="L29" s="3"/>
      <c r="M29" s="3"/>
      <c r="N29" s="3">
        <f>SUM(B29:M29)</f>
        <v>11</v>
      </c>
    </row>
    <row r="30" spans="1:14">
      <c r="A30" s="2" t="s">
        <v>76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>
        <v>4.25</v>
      </c>
      <c r="N30" s="3">
        <f>SUM(B30:M30)</f>
        <v>4.25</v>
      </c>
    </row>
    <row r="31" spans="1:14">
      <c r="A31" s="4" t="s">
        <v>49</v>
      </c>
      <c r="B31" s="5">
        <f>SUM(B4:B30)</f>
        <v>644.5</v>
      </c>
      <c r="C31" s="5">
        <f>SUM(C4:C30)</f>
        <v>679.25</v>
      </c>
      <c r="D31" s="5">
        <f>SUM(D4:D30)</f>
        <v>743.35</v>
      </c>
      <c r="E31" s="5">
        <f>SUM(E4:E30)</f>
        <v>593.75</v>
      </c>
      <c r="F31" s="5">
        <f>SUM(F4:F30)</f>
        <v>631.75</v>
      </c>
      <c r="G31" s="5">
        <f>SUM(G4:G30)</f>
        <v>639.25</v>
      </c>
      <c r="H31" s="5">
        <f>SUM(H4:H30)</f>
        <v>598.75</v>
      </c>
      <c r="I31" s="5">
        <f>SUM(I4:I30)</f>
        <v>336</v>
      </c>
      <c r="J31" s="5">
        <f>SUM(J4:J30)</f>
        <v>574.25</v>
      </c>
      <c r="K31" s="5">
        <f>SUM(K4:K30)</f>
        <v>797.05</v>
      </c>
      <c r="L31" s="5">
        <f>SUM(L4:L30)</f>
        <v>618.75</v>
      </c>
      <c r="M31" s="5">
        <f>SUM(M4:M30)</f>
        <v>571.5</v>
      </c>
      <c r="N31" s="5">
        <f>SUM(B31:M31)</f>
        <v>7428.1500000000005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"/>
  <sheetViews>
    <sheetView zoomScaleNormal="100" workbookViewId="0"/>
  </sheetViews>
  <sheetFormatPr defaultColWidth="8.7109375" defaultRowHeight="15"/>
  <cols>
    <col min="1" max="1" width="28" customWidth="1"/>
    <col min="2" max="14" width="14" customWidth="1"/>
  </cols>
  <sheetData>
    <row r="1" spans="1:14">
      <c r="A1" s="17" t="s">
        <v>80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3" spans="1:14">
      <c r="A3" s="1" t="s">
        <v>81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</row>
    <row r="4" spans="1:14">
      <c r="A4" s="2" t="s">
        <v>82</v>
      </c>
      <c r="B4" s="3">
        <f>80+24</f>
        <v>104</v>
      </c>
      <c r="C4" s="3">
        <f>79+20</f>
        <v>99</v>
      </c>
      <c r="D4" s="3">
        <f>92+27</f>
        <v>119</v>
      </c>
      <c r="E4" s="3">
        <f>93+22</f>
        <v>115</v>
      </c>
      <c r="F4" s="3">
        <f>75+24</f>
        <v>99</v>
      </c>
      <c r="G4" s="3">
        <f>92+24</f>
        <v>116</v>
      </c>
      <c r="H4" s="3">
        <f>108+25</f>
        <v>133</v>
      </c>
      <c r="I4" s="3">
        <v>22</v>
      </c>
      <c r="J4" s="3">
        <f>67+24</f>
        <v>91</v>
      </c>
      <c r="K4" s="3">
        <f>77+24</f>
        <v>101</v>
      </c>
      <c r="L4" s="3">
        <f>75+13</f>
        <v>88</v>
      </c>
      <c r="M4" s="3">
        <f>48+20</f>
        <v>68</v>
      </c>
      <c r="N4" s="3">
        <f>SUM(B4:M4)</f>
        <v>1155</v>
      </c>
    </row>
    <row r="5" spans="1:14">
      <c r="A5" s="2" t="s">
        <v>83</v>
      </c>
      <c r="B5" s="3">
        <v>11</v>
      </c>
      <c r="C5" s="3">
        <f>13+1</f>
        <v>14</v>
      </c>
      <c r="D5" s="3">
        <f>20+1</f>
        <v>21</v>
      </c>
      <c r="E5" s="3">
        <v>20</v>
      </c>
      <c r="F5" s="3">
        <v>11</v>
      </c>
      <c r="G5" s="3">
        <v>24</v>
      </c>
      <c r="H5" s="3">
        <v>16</v>
      </c>
      <c r="I5" s="3">
        <v>13</v>
      </c>
      <c r="J5" s="3">
        <f>24+1</f>
        <v>25</v>
      </c>
      <c r="K5" s="3">
        <f>24+4</f>
        <v>28</v>
      </c>
      <c r="L5" s="3">
        <f>40+3</f>
        <v>43</v>
      </c>
      <c r="M5" s="3">
        <f>19+1</f>
        <v>20</v>
      </c>
      <c r="N5" s="3">
        <f>SUM(B5:M5)</f>
        <v>246</v>
      </c>
    </row>
    <row r="6" spans="1:14">
      <c r="A6" s="2" t="s">
        <v>84</v>
      </c>
      <c r="B6" s="3">
        <f>22+3</f>
        <v>25</v>
      </c>
      <c r="C6" s="3">
        <f>22+2</f>
        <v>24</v>
      </c>
      <c r="D6" s="3">
        <v>17</v>
      </c>
      <c r="E6" s="3">
        <v>9</v>
      </c>
      <c r="F6" s="3">
        <f>17+1</f>
        <v>18</v>
      </c>
      <c r="G6" s="3">
        <f>14+3</f>
        <v>17</v>
      </c>
      <c r="H6" s="3">
        <f>22+2</f>
        <v>24</v>
      </c>
      <c r="I6" s="3">
        <v>10</v>
      </c>
      <c r="J6" s="3">
        <v>13</v>
      </c>
      <c r="K6" s="3">
        <f>22+1</f>
        <v>23</v>
      </c>
      <c r="L6" s="3">
        <f>26+3</f>
        <v>29</v>
      </c>
      <c r="M6" s="3">
        <f>4+2</f>
        <v>6</v>
      </c>
      <c r="N6" s="3">
        <f>SUM(B6:M6)</f>
        <v>215</v>
      </c>
    </row>
    <row r="7" spans="1:14">
      <c r="A7" s="2" t="s">
        <v>85</v>
      </c>
      <c r="B7" s="3"/>
      <c r="C7" s="3">
        <f>2+1</f>
        <v>3</v>
      </c>
      <c r="D7" s="3">
        <v>1</v>
      </c>
      <c r="E7" s="3">
        <v>1</v>
      </c>
      <c r="F7" s="3">
        <v>1</v>
      </c>
      <c r="G7" s="3"/>
      <c r="H7" s="3"/>
      <c r="I7" s="3"/>
      <c r="J7" s="3">
        <v>1</v>
      </c>
      <c r="K7" s="3">
        <v>4</v>
      </c>
      <c r="L7" s="3">
        <v>24</v>
      </c>
      <c r="M7" s="3"/>
      <c r="N7" s="3">
        <f>SUM(B7:M7)</f>
        <v>35</v>
      </c>
    </row>
    <row r="8" spans="1:14">
      <c r="A8" s="2" t="s">
        <v>86</v>
      </c>
      <c r="B8" s="3"/>
      <c r="C8" s="3">
        <v>1</v>
      </c>
      <c r="D8" s="3">
        <v>1</v>
      </c>
      <c r="E8" s="3">
        <v>1</v>
      </c>
      <c r="F8" s="3"/>
      <c r="G8" s="3">
        <v>1</v>
      </c>
      <c r="H8" s="3">
        <v>3</v>
      </c>
      <c r="I8" s="3">
        <v>2</v>
      </c>
      <c r="J8" s="3">
        <v>19</v>
      </c>
      <c r="K8" s="3">
        <v>1</v>
      </c>
      <c r="L8" s="3">
        <v>1</v>
      </c>
      <c r="M8" s="3">
        <v>4</v>
      </c>
      <c r="N8" s="3">
        <f>SUM(B8:M8)</f>
        <v>34</v>
      </c>
    </row>
    <row r="9" spans="1:14">
      <c r="A9" s="2" t="s">
        <v>87</v>
      </c>
      <c r="B9" s="3">
        <v>2</v>
      </c>
      <c r="C9" s="3">
        <v>1</v>
      </c>
      <c r="D9" s="3">
        <v>1</v>
      </c>
      <c r="E9" s="3">
        <v>2</v>
      </c>
      <c r="F9" s="3">
        <v>1</v>
      </c>
      <c r="G9" s="3"/>
      <c r="H9" s="3">
        <v>1</v>
      </c>
      <c r="I9" s="3"/>
      <c r="J9" s="3">
        <v>2</v>
      </c>
      <c r="K9" s="3">
        <v>5</v>
      </c>
      <c r="L9" s="3">
        <v>2</v>
      </c>
      <c r="M9" s="3"/>
      <c r="N9" s="3">
        <f>SUM(B9:M9)</f>
        <v>17</v>
      </c>
    </row>
    <row r="10" spans="1:14">
      <c r="A10" s="4" t="s">
        <v>49</v>
      </c>
      <c r="B10" s="5">
        <f>SUM(B4:B9)</f>
        <v>142</v>
      </c>
      <c r="C10" s="5">
        <f>SUM(C4:C9)</f>
        <v>142</v>
      </c>
      <c r="D10" s="5">
        <f>SUM(D4:D9)</f>
        <v>160</v>
      </c>
      <c r="E10" s="5">
        <f>SUM(E4:E9)</f>
        <v>148</v>
      </c>
      <c r="F10" s="5">
        <f>SUM(F4:F9)</f>
        <v>130</v>
      </c>
      <c r="G10" s="5">
        <f>SUM(G4:G9)</f>
        <v>158</v>
      </c>
      <c r="H10" s="5">
        <f>SUM(H4:H9)</f>
        <v>177</v>
      </c>
      <c r="I10" s="5">
        <f>SUM(I4:I9)</f>
        <v>47</v>
      </c>
      <c r="J10" s="5">
        <f>SUM(J4:J9)</f>
        <v>151</v>
      </c>
      <c r="K10" s="5">
        <f>SUM(K4:K9)</f>
        <v>162</v>
      </c>
      <c r="L10" s="5">
        <f>SUM(L4:L9)</f>
        <v>187</v>
      </c>
      <c r="M10" s="5">
        <f>SUM(M4:M9)</f>
        <v>98</v>
      </c>
      <c r="N10" s="5">
        <f>SUM(B10:M10)</f>
        <v>1702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"/>
  <sheetViews>
    <sheetView zoomScaleNormal="100" workbookViewId="0"/>
  </sheetViews>
  <sheetFormatPr defaultColWidth="8.7109375" defaultRowHeight="15"/>
  <cols>
    <col min="1" max="1" width="24" customWidth="1"/>
    <col min="2" max="13" width="14" customWidth="1"/>
  </cols>
  <sheetData>
    <row r="1" spans="1:13">
      <c r="A1" s="17" t="s">
        <v>88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3" spans="1:13">
      <c r="A3" s="1" t="s">
        <v>89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</row>
    <row r="4" spans="1:13">
      <c r="A4" s="2" t="s">
        <v>90</v>
      </c>
      <c r="B4" s="3">
        <v>3.34</v>
      </c>
      <c r="C4" s="3">
        <v>2.48</v>
      </c>
      <c r="D4" s="3">
        <v>2.98</v>
      </c>
      <c r="E4" s="3">
        <v>2.79</v>
      </c>
      <c r="F4" s="3">
        <v>2.5099999999999998</v>
      </c>
      <c r="G4" s="3">
        <v>2.1800000000000002</v>
      </c>
      <c r="H4" s="3">
        <v>2.57</v>
      </c>
      <c r="I4" s="3">
        <v>1.23</v>
      </c>
      <c r="J4" s="3">
        <v>1.52</v>
      </c>
      <c r="K4" s="3">
        <v>2.04</v>
      </c>
      <c r="L4" s="3">
        <v>1.67</v>
      </c>
      <c r="M4" s="3">
        <v>1.27</v>
      </c>
    </row>
    <row r="5" spans="1:13">
      <c r="A5" s="2" t="s">
        <v>91</v>
      </c>
      <c r="B5" s="6">
        <f>AVERAGE(B4:M4)</f>
        <v>2.2150000000000003</v>
      </c>
    </row>
    <row r="6" spans="1:13">
      <c r="B6" s="7"/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"/>
  <sheetViews>
    <sheetView zoomScaleNormal="100" workbookViewId="0"/>
  </sheetViews>
  <sheetFormatPr defaultColWidth="8.7109375" defaultRowHeight="15"/>
  <cols>
    <col min="1" max="1" width="26" customWidth="1"/>
    <col min="2" max="14" width="14" customWidth="1"/>
  </cols>
  <sheetData>
    <row r="1" spans="1:14">
      <c r="A1" s="17" t="s">
        <v>92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3" spans="1:14">
      <c r="A3" s="1" t="s">
        <v>89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</row>
    <row r="4" spans="1:14">
      <c r="A4" s="2" t="s">
        <v>93</v>
      </c>
      <c r="B4" s="3">
        <v>28</v>
      </c>
      <c r="C4" s="3">
        <f>28+4</f>
        <v>32</v>
      </c>
      <c r="D4" s="3">
        <f>23+2</f>
        <v>25</v>
      </c>
      <c r="E4" s="3">
        <v>27</v>
      </c>
      <c r="F4" s="3">
        <f>24+1</f>
        <v>25</v>
      </c>
      <c r="G4" s="3">
        <f>41+1</f>
        <v>42</v>
      </c>
      <c r="H4" s="3">
        <f>66+6</f>
        <v>72</v>
      </c>
      <c r="I4" s="3">
        <v>11</v>
      </c>
      <c r="J4" s="3">
        <f>42+2</f>
        <v>44</v>
      </c>
      <c r="K4" s="3">
        <f>25+5</f>
        <v>30</v>
      </c>
      <c r="L4" s="3">
        <f>47+3</f>
        <v>50</v>
      </c>
      <c r="M4" s="3">
        <f>11+2</f>
        <v>13</v>
      </c>
      <c r="N4" s="3">
        <f>SUM(B4:M4)</f>
        <v>399</v>
      </c>
    </row>
    <row r="5" spans="1:14">
      <c r="A5" s="2" t="s">
        <v>94</v>
      </c>
      <c r="B5" s="3">
        <v>32</v>
      </c>
      <c r="C5" s="3">
        <f>27.25+9</f>
        <v>36.25</v>
      </c>
      <c r="D5" s="3">
        <f>25.75+3</f>
        <v>28.75</v>
      </c>
      <c r="E5" s="3">
        <v>27</v>
      </c>
      <c r="F5" s="3">
        <f>31.75+0.5</f>
        <v>32.25</v>
      </c>
      <c r="G5" s="3">
        <f>46.25+12</f>
        <v>58.25</v>
      </c>
      <c r="H5" s="3">
        <f>51+4.25</f>
        <v>55.25</v>
      </c>
      <c r="I5" s="3">
        <v>17.25</v>
      </c>
      <c r="J5" s="3">
        <f>37.25+20.5</f>
        <v>57.75</v>
      </c>
      <c r="K5" s="3">
        <f>29.65+2.75</f>
        <v>32.4</v>
      </c>
      <c r="L5" s="3">
        <f>34+17.5</f>
        <v>51.5</v>
      </c>
      <c r="M5" s="3">
        <f>28.25+7</f>
        <v>35.25</v>
      </c>
      <c r="N5" s="3">
        <f>SUM(B5:M5)</f>
        <v>463.9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Beatriz Tobalina González</cp:lastModifiedBy>
  <cp:revision>0</cp:revision>
  <dcterms:created xsi:type="dcterms:W3CDTF">2026-05-08T08:11:51Z</dcterms:created>
  <dcterms:modified xsi:type="dcterms:W3CDTF">2026-05-08T09:34:44Z</dcterms:modified>
  <cp:category/>
  <cp:contentStatus/>
</cp:coreProperties>
</file>