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oscar.nieto/Desktop/"/>
    </mc:Choice>
  </mc:AlternateContent>
  <xr:revisionPtr revIDLastSave="0" documentId="8_{3F65383D-AD19-C443-971F-0AD8905CD592}" xr6:coauthVersionLast="47" xr6:coauthVersionMax="47" xr10:uidLastSave="{00000000-0000-0000-0000-000000000000}"/>
  <bookViews>
    <workbookView xWindow="28980" yWindow="-28200" windowWidth="21960" windowHeight="28200" tabRatio="500" activeTab="7" xr2:uid="{00000000-000D-0000-FFFF-FFFF00000000}"/>
  </bookViews>
  <sheets>
    <sheet name="Instrucciones" sheetId="1" r:id="rId1"/>
    <sheet name="Tipologia" sheetId="2" r:id="rId2"/>
    <sheet name="Negocio_Volumen" sheetId="3" r:id="rId3"/>
    <sheet name="Negocio_Horas" sheetId="4" r:id="rId4"/>
    <sheet name="Ciudad" sheetId="5" r:id="rId5"/>
    <sheet name="Entrega" sheetId="6" r:id="rId6"/>
    <sheet name="RRSS" sheetId="7" r:id="rId7"/>
    <sheet name="Freelance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6" l="1"/>
</calcChain>
</file>

<file path=xl/sharedStrings.xml><?xml version="1.0" encoding="utf-8"?>
<sst xmlns="http://schemas.openxmlformats.org/spreadsheetml/2006/main" count="153" uniqueCount="113">
  <si>
    <t>PLANTILLA DASHBOARD BDESIGN</t>
  </si>
  <si>
    <t>Cómo funciona</t>
  </si>
  <si>
    <t>•</t>
  </si>
  <si>
    <t>Esta plantilla alimenta al BDesign Dashboard. Tiene 6 hojas de datos, una por sección.</t>
  </si>
  <si>
    <t>El dashboard lee las hojas de forma DINÁMICA: detecta automáticamente las categorías y los meses que haya. Esto significa que puedes añadir, quitar o renombrar categorías y meses sin tocar el código.</t>
  </si>
  <si>
    <t>El dashboard ORDENA las gráficas por valor (de mayor a menor) automáticamente. NO necesitas ordenar las filas en el Excel.</t>
  </si>
  <si>
    <t>Reglas críticas (no romper)</t>
  </si>
  <si>
    <t>Nombres de hojas</t>
  </si>
  <si>
    <t>No cambies los nombres de las hojas (Tipologia, Negocio_Volumen, Negocio_Horas, Ciudad, Entrega, RRSS). El dashboard las busca por nombre exacto.</t>
  </si>
  <si>
    <t>Estructura general</t>
  </si>
  <si>
    <t>Fila 1 = título. Fila 2 = vacía. Fila 3 = cabeceras (categoría + meses + 'Total YTD'). Filas 4 a N = datos. Última fila = 'TOTAL'. No alteres este patrón.</t>
  </si>
  <si>
    <t>Etiqueta TOTAL</t>
  </si>
  <si>
    <t>La fila TOTAL debe llamarse exactamente 'TOTAL' (en mayúsculas). El dashboard la usa como marcador para saber dónde acaban los datos.</t>
  </si>
  <si>
    <t>Etiqueta Total YTD</t>
  </si>
  <si>
    <t>La columna final debe llamarse exactamente 'Total YTD'. El dashboard la usa para saber dónde acaban los meses.</t>
  </si>
  <si>
    <t>Formato de meses</t>
  </si>
  <si>
    <t>Usa siempre el mismo formato: 'Enero 2026', 'Febrero 2026'… No mezcles 'Ene' con 'Enero'.</t>
  </si>
  <si>
    <t>Nombre del archivo</t>
  </si>
  <si>
    <t>Guarda siempre como 'datos.xlsx'. No lo renombres a 'datos_marzo.xlsx' ni similares.</t>
  </si>
  <si>
    <t>Sin celdas combinadas</t>
  </si>
  <si>
    <t>No combines celdas dentro de las filas de datos. Solo en los títulos.</t>
  </si>
  <si>
    <t>Operaciones permitidas (sin tocar el código)</t>
  </si>
  <si>
    <t>Añadir un mes nuevo</t>
  </si>
  <si>
    <t>En cada hoja, inserta una columna a la derecha del último mes y antes de 'Total YTD'. Pon el nombre del mes en la fila 3 (ej: 'Abril 2026') y los valores debajo. Repite en TODAS las hojas.</t>
  </si>
  <si>
    <t>Añadir una categoría nueva</t>
  </si>
  <si>
    <t>Inserta una fila justo encima de la fila TOTAL. Pon el nombre de la categoría en la columna A y los valores en cada mes. Hazlo en cada hoja donde aplique.</t>
  </si>
  <si>
    <t>Quitar una categoría</t>
  </si>
  <si>
    <t>Elimina la fila entera. El dashboard dejará de mostrarla automáticamente.</t>
  </si>
  <si>
    <t>Renombrar una categoría</t>
  </si>
  <si>
    <t>Cambia el texto en la columna A. El dashboard usará el nuevo nombre en las gráficas.</t>
  </si>
  <si>
    <t>Reordenar filas</t>
  </si>
  <si>
    <t>NO hace falta. El dashboard ordena las gráficas de mayor a menor por Total YTD automáticamente. Mantén las filas en un orden estable que te resulte cómodo de mantener.</t>
  </si>
  <si>
    <t>Hojas que contiene este archivo</t>
  </si>
  <si>
    <t>Hoja</t>
  </si>
  <si>
    <t>Qué contiene</t>
  </si>
  <si>
    <t>Tipologia</t>
  </si>
  <si>
    <t>Volumen de trabajos por tipo (Dossier, RRSS, Emailing, Video…)</t>
  </si>
  <si>
    <t>Negocio_Volumen</t>
  </si>
  <si>
    <t>Volumen de trabajos por departamento (Residencial, Oficinas, Retail…)</t>
  </si>
  <si>
    <t>Negocio_Horas</t>
  </si>
  <si>
    <t>Horas dedicadas por departamento</t>
  </si>
  <si>
    <t>Ciudad</t>
  </si>
  <si>
    <t>Volumen de trabajos por ciudad (Madrid, Barcelona, Málaga…)</t>
  </si>
  <si>
    <t>Entrega</t>
  </si>
  <si>
    <t>Tiempo medio de entrega en días, por mes (1 sola fila de datos)</t>
  </si>
  <si>
    <t>RRSS</t>
  </si>
  <si>
    <t>Volumen y horas dedicadas a Redes Sociales (2 filas de datos)</t>
  </si>
  <si>
    <t>Volumen de trabajos por TIPOLOGÍA</t>
  </si>
  <si>
    <t>Dossier</t>
  </si>
  <si>
    <t>Emailing</t>
  </si>
  <si>
    <t>Video</t>
  </si>
  <si>
    <t>Branding</t>
  </si>
  <si>
    <t>Volumen de trabajos por DEPARTAMENTO/NEGOCIO</t>
  </si>
  <si>
    <t>Departamento</t>
  </si>
  <si>
    <t>Residencial</t>
  </si>
  <si>
    <t>Oficinas</t>
  </si>
  <si>
    <t>Retail</t>
  </si>
  <si>
    <t>Property Management</t>
  </si>
  <si>
    <t>HORAS dedicadas por DEPARTAMENTO/NEGOCIO</t>
  </si>
  <si>
    <t>Volumen de trabajos por CIUDAD</t>
  </si>
  <si>
    <t>Madrid</t>
  </si>
  <si>
    <t>Barcelona</t>
  </si>
  <si>
    <t>Valencia</t>
  </si>
  <si>
    <t>Málaga</t>
  </si>
  <si>
    <t>Tiempo medio de ENTREGA (días)</t>
  </si>
  <si>
    <t>Métrica</t>
  </si>
  <si>
    <t>MEDIA YTD</t>
  </si>
  <si>
    <t>REDES SOCIALES — Volumen y Horas</t>
  </si>
  <si>
    <t>Otros</t>
  </si>
  <si>
    <t>Carteleria</t>
  </si>
  <si>
    <t>Pitch</t>
  </si>
  <si>
    <t>Campañas</t>
  </si>
  <si>
    <t>Infografia</t>
  </si>
  <si>
    <t>Web</t>
  </si>
  <si>
    <t>Merchan</t>
  </si>
  <si>
    <t>Banner</t>
  </si>
  <si>
    <t>Stand</t>
  </si>
  <si>
    <t>MKT</t>
  </si>
  <si>
    <t>Residencial Social</t>
  </si>
  <si>
    <t>Logistico</t>
  </si>
  <si>
    <t>Residencial Alternativos</t>
  </si>
  <si>
    <t>Hoteles</t>
  </si>
  <si>
    <t>Arquitectura</t>
  </si>
  <si>
    <t>Comite</t>
  </si>
  <si>
    <t>RRHH</t>
  </si>
  <si>
    <t>Research</t>
  </si>
  <si>
    <t>Business Development</t>
  </si>
  <si>
    <t>ESG</t>
  </si>
  <si>
    <t>IT</t>
  </si>
  <si>
    <t>Financiero</t>
  </si>
  <si>
    <t>Consultoria</t>
  </si>
  <si>
    <t>Rural</t>
  </si>
  <si>
    <t>Valoraciones y Tasaciones</t>
  </si>
  <si>
    <t>FM</t>
  </si>
  <si>
    <t>Brand Design</t>
  </si>
  <si>
    <t>Marbella</t>
  </si>
  <si>
    <t>Abril</t>
  </si>
  <si>
    <t>Enero</t>
  </si>
  <si>
    <t>Febrero</t>
  </si>
  <si>
    <t>Marzo</t>
  </si>
  <si>
    <t>Trabajos externalizados</t>
  </si>
  <si>
    <t>Freelance</t>
  </si>
  <si>
    <t>Mayo</t>
  </si>
  <si>
    <t>Compliance</t>
  </si>
  <si>
    <t>Sevilla</t>
  </si>
  <si>
    <t>Bdesign</t>
  </si>
  <si>
    <t>Suma total</t>
  </si>
  <si>
    <t>Formacion</t>
  </si>
  <si>
    <t>Private Wealth</t>
  </si>
  <si>
    <t>Foro Innovacion</t>
  </si>
  <si>
    <t>Horas</t>
  </si>
  <si>
    <t>Volumne</t>
  </si>
  <si>
    <t>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</si>
</sst>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18"/>
      <color rgb="FF002857"/>
      <name val="Arial"/>
      <family val="2"/>
    </font>
    <font>
      <b/>
      <sz val="14"/>
      <color rgb="FF002857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rgb="FF002857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857"/>
        <bgColor rgb="FF0033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2" fillId="0" borderId="0" xfId="0" applyFont="1"/>
    <xf numFmtId="164" fontId="6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9" fillId="0" borderId="0" xfId="0" applyFont="1"/>
    <xf numFmtId="17" fontId="10" fillId="0" borderId="0" xfId="0" applyNumberFormat="1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E00"/>
      <rgbColor rgb="FFFF9900"/>
      <rgbColor rgb="FFFF6600"/>
      <rgbColor rgb="FF666699"/>
      <rgbColor rgb="FF969696"/>
      <rgbColor rgb="FF00285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24" customWidth="1"/>
    <col min="2" max="4" width="28" customWidth="1"/>
  </cols>
  <sheetData>
    <row r="1" spans="1:4" ht="23" x14ac:dyDescent="0.25">
      <c r="A1" s="10" t="s">
        <v>0</v>
      </c>
      <c r="B1" s="10"/>
      <c r="C1" s="10"/>
      <c r="D1" s="10"/>
    </row>
    <row r="3" spans="1:4" ht="18" x14ac:dyDescent="0.2">
      <c r="A3" s="1" t="s">
        <v>1</v>
      </c>
    </row>
    <row r="5" spans="1:4" ht="31.5" customHeight="1" x14ac:dyDescent="0.2">
      <c r="A5" s="2" t="s">
        <v>2</v>
      </c>
      <c r="B5" s="11" t="s">
        <v>3</v>
      </c>
      <c r="C5" s="11"/>
      <c r="D5" s="11"/>
    </row>
    <row r="6" spans="1:4" ht="31.5" customHeight="1" x14ac:dyDescent="0.2">
      <c r="A6" s="2" t="s">
        <v>2</v>
      </c>
      <c r="B6" s="11" t="s">
        <v>4</v>
      </c>
      <c r="C6" s="11"/>
      <c r="D6" s="11"/>
    </row>
    <row r="7" spans="1:4" ht="31.5" customHeight="1" x14ac:dyDescent="0.2">
      <c r="A7" s="2" t="s">
        <v>2</v>
      </c>
      <c r="B7" s="11" t="s">
        <v>5</v>
      </c>
      <c r="C7" s="11"/>
      <c r="D7" s="11"/>
    </row>
    <row r="9" spans="1:4" ht="18" x14ac:dyDescent="0.2">
      <c r="A9" s="1" t="s">
        <v>6</v>
      </c>
    </row>
    <row r="11" spans="1:4" ht="36" customHeight="1" x14ac:dyDescent="0.2">
      <c r="A11" s="3" t="s">
        <v>7</v>
      </c>
      <c r="B11" s="12" t="s">
        <v>8</v>
      </c>
      <c r="C11" s="12"/>
      <c r="D11" s="12"/>
    </row>
    <row r="12" spans="1:4" ht="36" customHeight="1" x14ac:dyDescent="0.2">
      <c r="A12" s="3" t="s">
        <v>9</v>
      </c>
      <c r="B12" s="12" t="s">
        <v>10</v>
      </c>
      <c r="C12" s="12"/>
      <c r="D12" s="12"/>
    </row>
    <row r="13" spans="1:4" ht="36" customHeight="1" x14ac:dyDescent="0.2">
      <c r="A13" s="3" t="s">
        <v>11</v>
      </c>
      <c r="B13" s="12" t="s">
        <v>12</v>
      </c>
      <c r="C13" s="12"/>
      <c r="D13" s="12"/>
    </row>
    <row r="14" spans="1:4" ht="36" customHeight="1" x14ac:dyDescent="0.2">
      <c r="A14" s="3" t="s">
        <v>13</v>
      </c>
      <c r="B14" s="12" t="s">
        <v>14</v>
      </c>
      <c r="C14" s="12"/>
      <c r="D14" s="12"/>
    </row>
    <row r="15" spans="1:4" ht="36" customHeight="1" x14ac:dyDescent="0.2">
      <c r="A15" s="3" t="s">
        <v>15</v>
      </c>
      <c r="B15" s="12" t="s">
        <v>16</v>
      </c>
      <c r="C15" s="12"/>
      <c r="D15" s="12"/>
    </row>
    <row r="16" spans="1:4" ht="36" customHeight="1" x14ac:dyDescent="0.2">
      <c r="A16" s="3" t="s">
        <v>17</v>
      </c>
      <c r="B16" s="12" t="s">
        <v>18</v>
      </c>
      <c r="C16" s="12"/>
      <c r="D16" s="12"/>
    </row>
    <row r="17" spans="1:4" ht="36" customHeight="1" x14ac:dyDescent="0.2">
      <c r="A17" s="3" t="s">
        <v>19</v>
      </c>
      <c r="B17" s="12" t="s">
        <v>20</v>
      </c>
      <c r="C17" s="12"/>
      <c r="D17" s="12"/>
    </row>
    <row r="20" spans="1:4" ht="18" x14ac:dyDescent="0.2">
      <c r="A20" s="1" t="s">
        <v>21</v>
      </c>
    </row>
    <row r="22" spans="1:4" ht="42" customHeight="1" x14ac:dyDescent="0.2">
      <c r="A22" s="3" t="s">
        <v>22</v>
      </c>
      <c r="B22" s="12" t="s">
        <v>23</v>
      </c>
      <c r="C22" s="12"/>
      <c r="D22" s="12"/>
    </row>
    <row r="23" spans="1:4" ht="42" customHeight="1" x14ac:dyDescent="0.2">
      <c r="A23" s="3" t="s">
        <v>24</v>
      </c>
      <c r="B23" s="12" t="s">
        <v>25</v>
      </c>
      <c r="C23" s="12"/>
      <c r="D23" s="12"/>
    </row>
    <row r="24" spans="1:4" ht="42" customHeight="1" x14ac:dyDescent="0.2">
      <c r="A24" s="3" t="s">
        <v>26</v>
      </c>
      <c r="B24" s="12" t="s">
        <v>27</v>
      </c>
      <c r="C24" s="12"/>
      <c r="D24" s="12"/>
    </row>
    <row r="25" spans="1:4" ht="42" customHeight="1" x14ac:dyDescent="0.2">
      <c r="A25" s="3" t="s">
        <v>28</v>
      </c>
      <c r="B25" s="12" t="s">
        <v>29</v>
      </c>
      <c r="C25" s="12"/>
      <c r="D25" s="12"/>
    </row>
    <row r="26" spans="1:4" ht="42" customHeight="1" x14ac:dyDescent="0.2">
      <c r="A26" s="3" t="s">
        <v>30</v>
      </c>
      <c r="B26" s="12" t="s">
        <v>31</v>
      </c>
      <c r="C26" s="12"/>
      <c r="D26" s="12"/>
    </row>
    <row r="29" spans="1:4" ht="18" x14ac:dyDescent="0.2">
      <c r="A29" s="1" t="s">
        <v>32</v>
      </c>
    </row>
    <row r="31" spans="1:4" ht="15" customHeight="1" x14ac:dyDescent="0.2">
      <c r="A31" s="4" t="s">
        <v>33</v>
      </c>
      <c r="B31" s="13" t="s">
        <v>34</v>
      </c>
      <c r="C31" s="13"/>
      <c r="D31" s="13"/>
    </row>
    <row r="32" spans="1:4" ht="15" customHeight="1" x14ac:dyDescent="0.2">
      <c r="A32" s="5" t="s">
        <v>35</v>
      </c>
      <c r="B32" s="12" t="s">
        <v>36</v>
      </c>
      <c r="C32" s="12"/>
      <c r="D32" s="12"/>
    </row>
    <row r="33" spans="1:4" ht="15" customHeight="1" x14ac:dyDescent="0.2">
      <c r="A33" s="5" t="s">
        <v>37</v>
      </c>
      <c r="B33" s="12" t="s">
        <v>38</v>
      </c>
      <c r="C33" s="12"/>
      <c r="D33" s="12"/>
    </row>
    <row r="34" spans="1:4" ht="15" customHeight="1" x14ac:dyDescent="0.2">
      <c r="A34" s="5" t="s">
        <v>39</v>
      </c>
      <c r="B34" s="12" t="s">
        <v>40</v>
      </c>
      <c r="C34" s="12"/>
      <c r="D34" s="12"/>
    </row>
    <row r="35" spans="1:4" ht="15" customHeight="1" x14ac:dyDescent="0.2">
      <c r="A35" s="5" t="s">
        <v>41</v>
      </c>
      <c r="B35" s="12" t="s">
        <v>42</v>
      </c>
      <c r="C35" s="12"/>
      <c r="D35" s="12"/>
    </row>
    <row r="36" spans="1:4" ht="15" customHeight="1" x14ac:dyDescent="0.2">
      <c r="A36" s="5" t="s">
        <v>43</v>
      </c>
      <c r="B36" s="12" t="s">
        <v>44</v>
      </c>
      <c r="C36" s="12"/>
      <c r="D36" s="12"/>
    </row>
    <row r="37" spans="1:4" ht="15" customHeight="1" x14ac:dyDescent="0.2">
      <c r="A37" s="5" t="s">
        <v>45</v>
      </c>
      <c r="B37" s="12" t="s">
        <v>46</v>
      </c>
      <c r="C37" s="12"/>
      <c r="D37" s="12"/>
    </row>
  </sheetData>
  <mergeCells count="23">
    <mergeCell ref="B35:D35"/>
    <mergeCell ref="B36:D36"/>
    <mergeCell ref="B37:D37"/>
    <mergeCell ref="B26:D26"/>
    <mergeCell ref="B31:D31"/>
    <mergeCell ref="B32:D32"/>
    <mergeCell ref="B33:D33"/>
    <mergeCell ref="B34:D34"/>
    <mergeCell ref="B17:D17"/>
    <mergeCell ref="B22:D22"/>
    <mergeCell ref="B23:D23"/>
    <mergeCell ref="B24:D24"/>
    <mergeCell ref="B25:D25"/>
    <mergeCell ref="B12:D12"/>
    <mergeCell ref="B13:D13"/>
    <mergeCell ref="B14:D14"/>
    <mergeCell ref="B15:D15"/>
    <mergeCell ref="B16:D16"/>
    <mergeCell ref="A1:D1"/>
    <mergeCell ref="B5:D5"/>
    <mergeCell ref="B6:D6"/>
    <mergeCell ref="B7:D7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zoomScaleNormal="100" workbookViewId="0">
      <selection activeCell="A3" sqref="A3:L19"/>
    </sheetView>
  </sheetViews>
  <sheetFormatPr baseColWidth="10" defaultColWidth="8.6640625" defaultRowHeight="15" x14ac:dyDescent="0.2"/>
  <cols>
    <col min="1" max="1" width="22" customWidth="1"/>
    <col min="2" max="11" width="14" customWidth="1"/>
  </cols>
  <sheetData>
    <row r="1" spans="1:12" ht="18" x14ac:dyDescent="0.2">
      <c r="A1" s="8" t="s">
        <v>47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2" x14ac:dyDescent="0.2">
      <c r="A3" s="14" t="s">
        <v>35</v>
      </c>
      <c r="B3" s="15">
        <v>46023</v>
      </c>
      <c r="C3" s="15">
        <v>46054</v>
      </c>
      <c r="D3" s="15">
        <v>46082</v>
      </c>
      <c r="E3" s="15">
        <v>46113</v>
      </c>
      <c r="F3" s="15">
        <v>46143</v>
      </c>
      <c r="G3" s="15">
        <v>46174</v>
      </c>
      <c r="H3" s="15">
        <v>46204</v>
      </c>
      <c r="I3" s="15">
        <v>46235</v>
      </c>
      <c r="J3" s="15">
        <v>46266</v>
      </c>
      <c r="K3" s="15">
        <v>46296</v>
      </c>
      <c r="L3" s="16" t="s">
        <v>106</v>
      </c>
    </row>
    <row r="4" spans="1:12" x14ac:dyDescent="0.2">
      <c r="A4" s="7" t="s">
        <v>48</v>
      </c>
      <c r="B4" s="7">
        <v>23</v>
      </c>
      <c r="C4" s="7">
        <v>28</v>
      </c>
      <c r="D4" s="7">
        <v>23</v>
      </c>
      <c r="E4" s="7">
        <v>25</v>
      </c>
      <c r="F4" s="7">
        <v>36</v>
      </c>
      <c r="G4" s="7">
        <v>35</v>
      </c>
      <c r="H4" s="7">
        <v>38</v>
      </c>
      <c r="I4" s="7">
        <v>10</v>
      </c>
      <c r="J4" s="7">
        <v>41</v>
      </c>
      <c r="K4" s="7">
        <v>48</v>
      </c>
      <c r="L4" s="7">
        <v>307</v>
      </c>
    </row>
    <row r="5" spans="1:12" x14ac:dyDescent="0.2">
      <c r="A5" s="7" t="s">
        <v>45</v>
      </c>
      <c r="B5" s="7">
        <v>25</v>
      </c>
      <c r="C5" s="7">
        <v>21</v>
      </c>
      <c r="D5" s="7">
        <v>22</v>
      </c>
      <c r="E5" s="7">
        <v>7</v>
      </c>
      <c r="F5" s="7">
        <v>19</v>
      </c>
      <c r="G5" s="7">
        <v>29</v>
      </c>
      <c r="H5" s="7">
        <v>36</v>
      </c>
      <c r="I5" s="7">
        <v>7</v>
      </c>
      <c r="J5" s="7">
        <v>16</v>
      </c>
      <c r="K5" s="7">
        <v>22</v>
      </c>
      <c r="L5" s="7">
        <v>204</v>
      </c>
    </row>
    <row r="6" spans="1:12" x14ac:dyDescent="0.2">
      <c r="A6" s="7" t="s">
        <v>49</v>
      </c>
      <c r="B6" s="7">
        <v>11</v>
      </c>
      <c r="C6" s="7">
        <v>22</v>
      </c>
      <c r="D6" s="7">
        <v>12</v>
      </c>
      <c r="E6" s="7">
        <v>13</v>
      </c>
      <c r="F6" s="7">
        <v>18</v>
      </c>
      <c r="G6" s="7">
        <v>36</v>
      </c>
      <c r="H6" s="7">
        <v>20</v>
      </c>
      <c r="I6" s="7">
        <v>2</v>
      </c>
      <c r="J6" s="7">
        <v>10</v>
      </c>
      <c r="K6" s="7">
        <v>31</v>
      </c>
      <c r="L6" s="7">
        <v>175</v>
      </c>
    </row>
    <row r="7" spans="1:12" x14ac:dyDescent="0.2">
      <c r="A7" s="7" t="s">
        <v>68</v>
      </c>
      <c r="B7" s="7">
        <v>14</v>
      </c>
      <c r="C7" s="7">
        <v>8</v>
      </c>
      <c r="D7" s="7">
        <v>11</v>
      </c>
      <c r="E7" s="7">
        <v>11</v>
      </c>
      <c r="F7" s="7">
        <v>12</v>
      </c>
      <c r="G7" s="7">
        <v>5</v>
      </c>
      <c r="H7" s="7">
        <v>10</v>
      </c>
      <c r="I7" s="7"/>
      <c r="J7" s="7">
        <v>4</v>
      </c>
      <c r="K7" s="7">
        <v>8</v>
      </c>
      <c r="L7" s="7">
        <v>83</v>
      </c>
    </row>
    <row r="8" spans="1:12" x14ac:dyDescent="0.2">
      <c r="A8" s="7" t="s">
        <v>50</v>
      </c>
      <c r="B8" s="7">
        <v>9</v>
      </c>
      <c r="C8" s="7">
        <v>6</v>
      </c>
      <c r="D8" s="7">
        <v>6</v>
      </c>
      <c r="E8" s="7">
        <v>10</v>
      </c>
      <c r="F8" s="7">
        <v>3</v>
      </c>
      <c r="G8" s="7">
        <v>11</v>
      </c>
      <c r="H8" s="7">
        <v>5</v>
      </c>
      <c r="I8" s="7">
        <v>3</v>
      </c>
      <c r="J8" s="7">
        <v>8</v>
      </c>
      <c r="K8" s="7">
        <v>6</v>
      </c>
      <c r="L8" s="7">
        <v>67</v>
      </c>
    </row>
    <row r="9" spans="1:12" x14ac:dyDescent="0.2">
      <c r="A9" s="7" t="s">
        <v>71</v>
      </c>
      <c r="B9" s="7">
        <v>3</v>
      </c>
      <c r="C9" s="7">
        <v>5</v>
      </c>
      <c r="D9" s="7">
        <v>4</v>
      </c>
      <c r="E9" s="7">
        <v>6</v>
      </c>
      <c r="F9" s="7">
        <v>8</v>
      </c>
      <c r="G9" s="7">
        <v>11</v>
      </c>
      <c r="H9" s="7">
        <v>5</v>
      </c>
      <c r="I9" s="7">
        <v>2</v>
      </c>
      <c r="J9" s="7">
        <v>9</v>
      </c>
      <c r="K9" s="7">
        <v>5</v>
      </c>
      <c r="L9" s="7">
        <v>58</v>
      </c>
    </row>
    <row r="10" spans="1:12" x14ac:dyDescent="0.2">
      <c r="A10" s="7" t="s">
        <v>69</v>
      </c>
      <c r="B10" s="7">
        <v>5</v>
      </c>
      <c r="C10" s="7">
        <v>8</v>
      </c>
      <c r="D10" s="7">
        <v>6</v>
      </c>
      <c r="E10" s="7">
        <v>6</v>
      </c>
      <c r="F10" s="7">
        <v>3</v>
      </c>
      <c r="G10" s="7">
        <v>5</v>
      </c>
      <c r="H10" s="7">
        <v>11</v>
      </c>
      <c r="I10" s="7"/>
      <c r="J10" s="7">
        <v>6</v>
      </c>
      <c r="K10" s="7">
        <v>3</v>
      </c>
      <c r="L10" s="7">
        <v>53</v>
      </c>
    </row>
    <row r="11" spans="1:12" x14ac:dyDescent="0.2">
      <c r="A11" s="7" t="s">
        <v>70</v>
      </c>
      <c r="B11" s="7">
        <v>9</v>
      </c>
      <c r="C11" s="7">
        <v>4</v>
      </c>
      <c r="D11" s="7">
        <v>4</v>
      </c>
      <c r="E11" s="7">
        <v>3</v>
      </c>
      <c r="F11" s="7">
        <v>3</v>
      </c>
      <c r="G11" s="7">
        <v>2</v>
      </c>
      <c r="H11" s="7">
        <v>3</v>
      </c>
      <c r="I11" s="7">
        <v>2</v>
      </c>
      <c r="J11" s="7">
        <v>7</v>
      </c>
      <c r="K11" s="7">
        <v>3</v>
      </c>
      <c r="L11" s="7">
        <v>40</v>
      </c>
    </row>
    <row r="12" spans="1:12" x14ac:dyDescent="0.2">
      <c r="A12" s="7" t="s">
        <v>75</v>
      </c>
      <c r="B12" s="7">
        <v>3</v>
      </c>
      <c r="C12" s="7">
        <v>1</v>
      </c>
      <c r="D12" s="7"/>
      <c r="E12" s="7"/>
      <c r="F12" s="7">
        <v>7</v>
      </c>
      <c r="G12" s="7">
        <v>4</v>
      </c>
      <c r="H12" s="7">
        <v>2</v>
      </c>
      <c r="I12" s="7">
        <v>2</v>
      </c>
      <c r="J12" s="7">
        <v>5</v>
      </c>
      <c r="K12" s="7">
        <v>2</v>
      </c>
      <c r="L12" s="7">
        <v>26</v>
      </c>
    </row>
    <row r="13" spans="1:12" x14ac:dyDescent="0.2">
      <c r="A13" s="7" t="s">
        <v>73</v>
      </c>
      <c r="B13" s="7">
        <v>3</v>
      </c>
      <c r="C13" s="7"/>
      <c r="D13" s="7"/>
      <c r="E13" s="7">
        <v>1</v>
      </c>
      <c r="F13" s="7">
        <v>1</v>
      </c>
      <c r="G13" s="7">
        <v>4</v>
      </c>
      <c r="H13" s="7">
        <v>2</v>
      </c>
      <c r="I13" s="7"/>
      <c r="J13" s="7">
        <v>1</v>
      </c>
      <c r="K13" s="7">
        <v>6</v>
      </c>
      <c r="L13" s="7">
        <v>18</v>
      </c>
    </row>
    <row r="14" spans="1:12" x14ac:dyDescent="0.2">
      <c r="A14" s="7" t="s">
        <v>74</v>
      </c>
      <c r="B14" s="7">
        <v>1</v>
      </c>
      <c r="C14" s="7">
        <v>2</v>
      </c>
      <c r="D14" s="7"/>
      <c r="E14" s="7">
        <v>3</v>
      </c>
      <c r="F14" s="7">
        <v>2</v>
      </c>
      <c r="G14" s="7">
        <v>3</v>
      </c>
      <c r="H14" s="7">
        <v>3</v>
      </c>
      <c r="I14" s="7"/>
      <c r="J14" s="7">
        <v>2</v>
      </c>
      <c r="K14" s="7"/>
      <c r="L14" s="7">
        <v>16</v>
      </c>
    </row>
    <row r="15" spans="1:12" x14ac:dyDescent="0.2">
      <c r="A15" s="7" t="s">
        <v>51</v>
      </c>
      <c r="B15" s="7">
        <v>4</v>
      </c>
      <c r="C15" s="7"/>
      <c r="D15" s="7">
        <v>1</v>
      </c>
      <c r="E15" s="7">
        <v>2</v>
      </c>
      <c r="F15" s="7">
        <v>1</v>
      </c>
      <c r="G15" s="7">
        <v>4</v>
      </c>
      <c r="H15" s="7"/>
      <c r="I15" s="7"/>
      <c r="J15" s="7"/>
      <c r="K15" s="7">
        <v>2</v>
      </c>
      <c r="L15" s="7">
        <v>14</v>
      </c>
    </row>
    <row r="16" spans="1:12" x14ac:dyDescent="0.2">
      <c r="A16" s="7" t="s">
        <v>72</v>
      </c>
      <c r="B16" s="7">
        <v>2</v>
      </c>
      <c r="C16" s="7">
        <v>2</v>
      </c>
      <c r="D16" s="7">
        <v>2</v>
      </c>
      <c r="E16" s="7"/>
      <c r="F16" s="7"/>
      <c r="G16" s="7">
        <v>1</v>
      </c>
      <c r="H16" s="7"/>
      <c r="I16" s="7">
        <v>1</v>
      </c>
      <c r="J16" s="7"/>
      <c r="K16" s="7">
        <v>2</v>
      </c>
      <c r="L16" s="7">
        <v>10</v>
      </c>
    </row>
    <row r="17" spans="1:12" x14ac:dyDescent="0.2">
      <c r="A17" s="7" t="s">
        <v>76</v>
      </c>
      <c r="B17" s="7"/>
      <c r="C17" s="7"/>
      <c r="D17" s="7"/>
      <c r="E17" s="7">
        <v>1</v>
      </c>
      <c r="F17" s="7"/>
      <c r="G17" s="7"/>
      <c r="H17" s="7">
        <v>1</v>
      </c>
      <c r="I17" s="7">
        <v>1</v>
      </c>
      <c r="J17" s="7">
        <v>2</v>
      </c>
      <c r="K17" s="7"/>
      <c r="L17" s="7">
        <v>5</v>
      </c>
    </row>
    <row r="18" spans="1:12" x14ac:dyDescent="0.2">
      <c r="A18" s="7" t="s">
        <v>107</v>
      </c>
      <c r="B18" s="7"/>
      <c r="C18" s="7"/>
      <c r="D18" s="7"/>
      <c r="E18" s="7"/>
      <c r="F18" s="7">
        <v>1</v>
      </c>
      <c r="G18" s="7"/>
      <c r="H18" s="7"/>
      <c r="I18" s="7"/>
      <c r="J18" s="7">
        <v>1</v>
      </c>
      <c r="K18" s="7">
        <v>1</v>
      </c>
      <c r="L18" s="7">
        <v>3</v>
      </c>
    </row>
    <row r="19" spans="1:12" x14ac:dyDescent="0.2">
      <c r="A19" s="17" t="s">
        <v>106</v>
      </c>
      <c r="B19" s="17">
        <v>112</v>
      </c>
      <c r="C19" s="17">
        <v>107</v>
      </c>
      <c r="D19" s="17">
        <v>91</v>
      </c>
      <c r="E19" s="17">
        <v>88</v>
      </c>
      <c r="F19" s="17">
        <v>114</v>
      </c>
      <c r="G19" s="17">
        <v>150</v>
      </c>
      <c r="H19" s="17">
        <v>136</v>
      </c>
      <c r="I19" s="17">
        <v>30</v>
      </c>
      <c r="J19" s="17">
        <v>112</v>
      </c>
      <c r="K19" s="17">
        <v>139</v>
      </c>
      <c r="L19" s="17">
        <v>1079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zoomScaleNormal="100" workbookViewId="0">
      <selection activeCell="A3" sqref="A3:L28"/>
    </sheetView>
  </sheetViews>
  <sheetFormatPr baseColWidth="10" defaultColWidth="8.6640625" defaultRowHeight="15" x14ac:dyDescent="0.2"/>
  <cols>
    <col min="1" max="1" width="22" customWidth="1"/>
    <col min="2" max="7" width="14" customWidth="1"/>
  </cols>
  <sheetData>
    <row r="1" spans="1:12" ht="18" x14ac:dyDescent="0.2">
      <c r="A1" s="8" t="s">
        <v>52</v>
      </c>
      <c r="B1" s="8"/>
      <c r="C1" s="8"/>
      <c r="D1" s="8"/>
      <c r="E1" s="8"/>
      <c r="F1" s="8"/>
      <c r="G1" s="8"/>
    </row>
    <row r="3" spans="1:12" x14ac:dyDescent="0.2">
      <c r="A3" s="14" t="s">
        <v>53</v>
      </c>
      <c r="B3" s="15">
        <v>46023</v>
      </c>
      <c r="C3" s="15">
        <v>46054</v>
      </c>
      <c r="D3" s="15">
        <v>46082</v>
      </c>
      <c r="E3" s="15">
        <v>46113</v>
      </c>
      <c r="F3" s="15">
        <v>46143</v>
      </c>
      <c r="G3" s="15">
        <v>46174</v>
      </c>
      <c r="H3" s="15">
        <v>46204</v>
      </c>
      <c r="I3" s="15">
        <v>46235</v>
      </c>
      <c r="J3" s="15">
        <v>46266</v>
      </c>
      <c r="K3" s="15">
        <v>46296</v>
      </c>
      <c r="L3" s="16" t="s">
        <v>106</v>
      </c>
    </row>
    <row r="4" spans="1:12" x14ac:dyDescent="0.2">
      <c r="A4" s="7" t="s">
        <v>77</v>
      </c>
      <c r="B4" s="7">
        <v>25</v>
      </c>
      <c r="C4" s="7">
        <v>24</v>
      </c>
      <c r="D4" s="7">
        <v>20</v>
      </c>
      <c r="E4" s="7">
        <v>18</v>
      </c>
      <c r="F4" s="7">
        <v>15</v>
      </c>
      <c r="G4" s="7">
        <v>46</v>
      </c>
      <c r="H4" s="7">
        <v>40</v>
      </c>
      <c r="I4" s="7"/>
      <c r="J4" s="7">
        <v>19</v>
      </c>
      <c r="K4" s="7">
        <v>46</v>
      </c>
      <c r="L4" s="7">
        <v>253</v>
      </c>
    </row>
    <row r="5" spans="1:12" x14ac:dyDescent="0.2">
      <c r="A5" s="7" t="s">
        <v>54</v>
      </c>
      <c r="B5" s="7">
        <v>19</v>
      </c>
      <c r="C5" s="7">
        <v>20</v>
      </c>
      <c r="D5" s="7">
        <v>7</v>
      </c>
      <c r="E5" s="7">
        <v>19</v>
      </c>
      <c r="F5" s="7">
        <v>34</v>
      </c>
      <c r="G5" s="7">
        <v>25</v>
      </c>
      <c r="H5" s="7">
        <v>21</v>
      </c>
      <c r="I5" s="7">
        <v>6</v>
      </c>
      <c r="J5" s="7">
        <v>30</v>
      </c>
      <c r="K5" s="7">
        <v>18</v>
      </c>
      <c r="L5" s="7">
        <v>199</v>
      </c>
    </row>
    <row r="6" spans="1:12" x14ac:dyDescent="0.2">
      <c r="A6" s="7" t="s">
        <v>82</v>
      </c>
      <c r="B6" s="7">
        <v>5</v>
      </c>
      <c r="C6" s="7">
        <v>1</v>
      </c>
      <c r="D6" s="7">
        <v>3</v>
      </c>
      <c r="E6" s="7">
        <v>5</v>
      </c>
      <c r="F6" s="7">
        <v>17</v>
      </c>
      <c r="G6" s="7">
        <v>26</v>
      </c>
      <c r="H6" s="7">
        <v>20</v>
      </c>
      <c r="I6" s="7">
        <v>9</v>
      </c>
      <c r="J6" s="7">
        <v>28</v>
      </c>
      <c r="K6" s="7">
        <v>28</v>
      </c>
      <c r="L6" s="7">
        <v>142</v>
      </c>
    </row>
    <row r="7" spans="1:12" x14ac:dyDescent="0.2">
      <c r="A7" s="7" t="s">
        <v>78</v>
      </c>
      <c r="B7" s="7">
        <v>14</v>
      </c>
      <c r="C7" s="7">
        <v>14</v>
      </c>
      <c r="D7" s="7">
        <v>19</v>
      </c>
      <c r="E7" s="7">
        <v>9</v>
      </c>
      <c r="F7" s="7">
        <v>9</v>
      </c>
      <c r="G7" s="7">
        <v>8</v>
      </c>
      <c r="H7" s="7">
        <v>5</v>
      </c>
      <c r="I7" s="7">
        <v>2</v>
      </c>
      <c r="J7" s="7">
        <v>4</v>
      </c>
      <c r="K7" s="7">
        <v>15</v>
      </c>
      <c r="L7" s="7">
        <v>99</v>
      </c>
    </row>
    <row r="8" spans="1:12" x14ac:dyDescent="0.2">
      <c r="A8" s="7" t="s">
        <v>55</v>
      </c>
      <c r="B8" s="7">
        <v>10</v>
      </c>
      <c r="C8" s="7">
        <v>10</v>
      </c>
      <c r="D8" s="7">
        <v>5</v>
      </c>
      <c r="E8" s="7">
        <v>10</v>
      </c>
      <c r="F8" s="7">
        <v>6</v>
      </c>
      <c r="G8" s="7">
        <v>5</v>
      </c>
      <c r="H8" s="7">
        <v>10</v>
      </c>
      <c r="I8" s="7">
        <v>3</v>
      </c>
      <c r="J8" s="7">
        <v>4</v>
      </c>
      <c r="K8" s="7">
        <v>8</v>
      </c>
      <c r="L8" s="7">
        <v>71</v>
      </c>
    </row>
    <row r="9" spans="1:12" x14ac:dyDescent="0.2">
      <c r="A9" s="7" t="s">
        <v>79</v>
      </c>
      <c r="B9" s="7">
        <v>7</v>
      </c>
      <c r="C9" s="7">
        <v>7</v>
      </c>
      <c r="D9" s="7">
        <v>16</v>
      </c>
      <c r="E9" s="7">
        <v>13</v>
      </c>
      <c r="F9" s="7">
        <v>1</v>
      </c>
      <c r="G9" s="7">
        <v>1</v>
      </c>
      <c r="H9" s="7">
        <v>5</v>
      </c>
      <c r="I9" s="7"/>
      <c r="J9" s="7">
        <v>2</v>
      </c>
      <c r="K9" s="7">
        <v>5</v>
      </c>
      <c r="L9" s="7">
        <v>57</v>
      </c>
    </row>
    <row r="10" spans="1:12" x14ac:dyDescent="0.2">
      <c r="A10" s="7" t="s">
        <v>81</v>
      </c>
      <c r="B10" s="7">
        <v>5</v>
      </c>
      <c r="C10" s="7">
        <v>4</v>
      </c>
      <c r="D10" s="7">
        <v>5</v>
      </c>
      <c r="E10" s="7">
        <v>3</v>
      </c>
      <c r="F10" s="7">
        <v>7</v>
      </c>
      <c r="G10" s="7">
        <v>6</v>
      </c>
      <c r="H10" s="7">
        <v>6</v>
      </c>
      <c r="I10" s="7">
        <v>3</v>
      </c>
      <c r="J10" s="7">
        <v>3</v>
      </c>
      <c r="K10" s="7">
        <v>2</v>
      </c>
      <c r="L10" s="7">
        <v>44</v>
      </c>
    </row>
    <row r="11" spans="1:12" x14ac:dyDescent="0.2">
      <c r="A11" s="7" t="s">
        <v>80</v>
      </c>
      <c r="B11" s="7">
        <v>12</v>
      </c>
      <c r="C11" s="7">
        <v>8</v>
      </c>
      <c r="D11" s="7">
        <v>2</v>
      </c>
      <c r="E11" s="7">
        <v>1</v>
      </c>
      <c r="F11" s="7">
        <v>3</v>
      </c>
      <c r="G11" s="7">
        <v>4</v>
      </c>
      <c r="H11" s="7">
        <v>4</v>
      </c>
      <c r="I11" s="7"/>
      <c r="J11" s="7">
        <v>4</v>
      </c>
      <c r="K11" s="7">
        <v>1</v>
      </c>
      <c r="L11" s="7">
        <v>39</v>
      </c>
    </row>
    <row r="12" spans="1:12" x14ac:dyDescent="0.2">
      <c r="A12" s="7" t="s">
        <v>57</v>
      </c>
      <c r="B12" s="7">
        <v>3</v>
      </c>
      <c r="C12" s="7">
        <v>2</v>
      </c>
      <c r="D12" s="7">
        <v>3</v>
      </c>
      <c r="E12" s="7">
        <v>3</v>
      </c>
      <c r="F12" s="7">
        <v>7</v>
      </c>
      <c r="G12" s="7">
        <v>4</v>
      </c>
      <c r="H12" s="7">
        <v>4</v>
      </c>
      <c r="I12" s="7">
        <v>5</v>
      </c>
      <c r="J12" s="7">
        <v>5</v>
      </c>
      <c r="K12" s="7"/>
      <c r="L12" s="7">
        <v>36</v>
      </c>
    </row>
    <row r="13" spans="1:12" x14ac:dyDescent="0.2">
      <c r="A13" s="7" t="s">
        <v>85</v>
      </c>
      <c r="B13" s="7"/>
      <c r="C13" s="7">
        <v>3</v>
      </c>
      <c r="D13" s="7">
        <v>1</v>
      </c>
      <c r="E13" s="7">
        <v>1</v>
      </c>
      <c r="F13" s="7">
        <v>3</v>
      </c>
      <c r="G13" s="7">
        <v>7</v>
      </c>
      <c r="H13" s="7">
        <v>4</v>
      </c>
      <c r="I13" s="7"/>
      <c r="J13" s="7">
        <v>1</v>
      </c>
      <c r="K13" s="7">
        <v>2</v>
      </c>
      <c r="L13" s="7">
        <v>22</v>
      </c>
    </row>
    <row r="14" spans="1:12" x14ac:dyDescent="0.2">
      <c r="A14" s="7" t="s">
        <v>84</v>
      </c>
      <c r="B14" s="7">
        <v>2</v>
      </c>
      <c r="C14" s="7">
        <v>1</v>
      </c>
      <c r="D14" s="7">
        <v>1</v>
      </c>
      <c r="E14" s="7">
        <v>1</v>
      </c>
      <c r="F14" s="7"/>
      <c r="G14" s="7">
        <v>5</v>
      </c>
      <c r="H14" s="7">
        <v>3</v>
      </c>
      <c r="I14" s="7"/>
      <c r="J14" s="7">
        <v>4</v>
      </c>
      <c r="K14" s="7">
        <v>2</v>
      </c>
      <c r="L14" s="7">
        <v>19</v>
      </c>
    </row>
    <row r="15" spans="1:12" x14ac:dyDescent="0.2">
      <c r="A15" s="7" t="s">
        <v>83</v>
      </c>
      <c r="B15" s="7">
        <v>1</v>
      </c>
      <c r="C15" s="7">
        <v>2</v>
      </c>
      <c r="D15" s="7"/>
      <c r="E15" s="7">
        <v>3</v>
      </c>
      <c r="F15" s="7">
        <v>1</v>
      </c>
      <c r="G15" s="7">
        <v>5</v>
      </c>
      <c r="H15" s="7">
        <v>1</v>
      </c>
      <c r="I15" s="7"/>
      <c r="J15" s="7">
        <v>1</v>
      </c>
      <c r="K15" s="7">
        <v>2</v>
      </c>
      <c r="L15" s="7">
        <v>16</v>
      </c>
    </row>
    <row r="16" spans="1:12" x14ac:dyDescent="0.2">
      <c r="A16" s="7" t="s">
        <v>94</v>
      </c>
      <c r="B16" s="7">
        <v>3</v>
      </c>
      <c r="C16" s="7">
        <v>2</v>
      </c>
      <c r="D16" s="7">
        <v>3</v>
      </c>
      <c r="E16" s="7"/>
      <c r="F16" s="7">
        <v>2</v>
      </c>
      <c r="G16" s="7"/>
      <c r="H16" s="7">
        <v>3</v>
      </c>
      <c r="I16" s="7"/>
      <c r="J16" s="7">
        <v>3</v>
      </c>
      <c r="K16" s="7"/>
      <c r="L16" s="7">
        <v>16</v>
      </c>
    </row>
    <row r="17" spans="1:12" x14ac:dyDescent="0.2">
      <c r="A17" s="7" t="s">
        <v>88</v>
      </c>
      <c r="B17" s="7"/>
      <c r="C17" s="7">
        <v>2</v>
      </c>
      <c r="D17" s="7">
        <v>1</v>
      </c>
      <c r="E17" s="7"/>
      <c r="F17" s="7">
        <v>2</v>
      </c>
      <c r="G17" s="7"/>
      <c r="H17" s="7">
        <v>4</v>
      </c>
      <c r="I17" s="7"/>
      <c r="J17" s="7">
        <v>1</v>
      </c>
      <c r="K17" s="7">
        <v>1</v>
      </c>
      <c r="L17" s="7">
        <v>11</v>
      </c>
    </row>
    <row r="18" spans="1:12" x14ac:dyDescent="0.2">
      <c r="A18" s="7" t="s">
        <v>87</v>
      </c>
      <c r="B18" s="7"/>
      <c r="C18" s="7">
        <v>2</v>
      </c>
      <c r="D18" s="7"/>
      <c r="E18" s="7">
        <v>2</v>
      </c>
      <c r="F18" s="7">
        <v>3</v>
      </c>
      <c r="G18" s="7">
        <v>2</v>
      </c>
      <c r="H18" s="7"/>
      <c r="I18" s="7"/>
      <c r="J18" s="7"/>
      <c r="K18" s="7">
        <v>1</v>
      </c>
      <c r="L18" s="7">
        <v>10</v>
      </c>
    </row>
    <row r="19" spans="1:12" x14ac:dyDescent="0.2">
      <c r="A19" s="7" t="s">
        <v>86</v>
      </c>
      <c r="B19" s="7">
        <v>3</v>
      </c>
      <c r="C19" s="7">
        <v>2</v>
      </c>
      <c r="D19" s="7"/>
      <c r="E19" s="7"/>
      <c r="F19" s="7">
        <v>2</v>
      </c>
      <c r="G19" s="7"/>
      <c r="H19" s="7">
        <v>2</v>
      </c>
      <c r="I19" s="7"/>
      <c r="J19" s="7"/>
      <c r="K19" s="7">
        <v>1</v>
      </c>
      <c r="L19" s="7">
        <v>10</v>
      </c>
    </row>
    <row r="20" spans="1:12" x14ac:dyDescent="0.2">
      <c r="A20" s="7" t="s">
        <v>90</v>
      </c>
      <c r="B20" s="7">
        <v>1</v>
      </c>
      <c r="C20" s="7">
        <v>1</v>
      </c>
      <c r="D20" s="7">
        <v>1</v>
      </c>
      <c r="E20" s="7"/>
      <c r="F20" s="7">
        <v>1</v>
      </c>
      <c r="G20" s="7">
        <v>1</v>
      </c>
      <c r="H20" s="7"/>
      <c r="I20" s="7"/>
      <c r="J20" s="7">
        <v>1</v>
      </c>
      <c r="K20" s="7">
        <v>2</v>
      </c>
      <c r="L20" s="7">
        <v>8</v>
      </c>
    </row>
    <row r="21" spans="1:12" x14ac:dyDescent="0.2">
      <c r="A21" s="7" t="s">
        <v>93</v>
      </c>
      <c r="B21" s="7"/>
      <c r="C21" s="7"/>
      <c r="D21" s="7">
        <v>1</v>
      </c>
      <c r="E21" s="7"/>
      <c r="F21" s="7"/>
      <c r="G21" s="7">
        <v>3</v>
      </c>
      <c r="H21" s="7">
        <v>1</v>
      </c>
      <c r="I21" s="7"/>
      <c r="J21" s="7">
        <v>1</v>
      </c>
      <c r="K21" s="7">
        <v>1</v>
      </c>
      <c r="L21" s="7">
        <v>7</v>
      </c>
    </row>
    <row r="22" spans="1:12" x14ac:dyDescent="0.2">
      <c r="A22" s="7" t="s">
        <v>92</v>
      </c>
      <c r="B22" s="7">
        <v>1</v>
      </c>
      <c r="C22" s="7"/>
      <c r="D22" s="7"/>
      <c r="E22" s="7"/>
      <c r="F22" s="7"/>
      <c r="G22" s="7"/>
      <c r="H22" s="7">
        <v>3</v>
      </c>
      <c r="I22" s="7">
        <v>1</v>
      </c>
      <c r="J22" s="7"/>
      <c r="K22" s="7">
        <v>1</v>
      </c>
      <c r="L22" s="7">
        <v>6</v>
      </c>
    </row>
    <row r="23" spans="1:12" x14ac:dyDescent="0.2">
      <c r="A23" s="7" t="s">
        <v>103</v>
      </c>
      <c r="B23" s="7"/>
      <c r="C23" s="7"/>
      <c r="D23" s="7"/>
      <c r="E23" s="7"/>
      <c r="F23" s="7">
        <v>1</v>
      </c>
      <c r="G23" s="7">
        <v>1</v>
      </c>
      <c r="H23" s="7"/>
      <c r="I23" s="7"/>
      <c r="J23" s="7"/>
      <c r="K23" s="7">
        <v>2</v>
      </c>
      <c r="L23" s="7">
        <v>4</v>
      </c>
    </row>
    <row r="24" spans="1:12" x14ac:dyDescent="0.2">
      <c r="A24" s="7" t="s">
        <v>91</v>
      </c>
      <c r="B24" s="7"/>
      <c r="C24" s="7"/>
      <c r="D24" s="7">
        <v>2</v>
      </c>
      <c r="E24" s="7"/>
      <c r="F24" s="7"/>
      <c r="G24" s="7">
        <v>1</v>
      </c>
      <c r="H24" s="7"/>
      <c r="I24" s="7"/>
      <c r="J24" s="7"/>
      <c r="K24" s="7"/>
      <c r="L24" s="7">
        <v>3</v>
      </c>
    </row>
    <row r="25" spans="1:12" x14ac:dyDescent="0.2">
      <c r="A25" s="7" t="s">
        <v>89</v>
      </c>
      <c r="B25" s="7"/>
      <c r="C25" s="7">
        <v>2</v>
      </c>
      <c r="D25" s="7">
        <v>1</v>
      </c>
      <c r="E25" s="7"/>
      <c r="F25" s="7"/>
      <c r="G25" s="7"/>
      <c r="H25" s="7"/>
      <c r="I25" s="7"/>
      <c r="J25" s="7"/>
      <c r="K25" s="7"/>
      <c r="L25" s="7">
        <v>3</v>
      </c>
    </row>
    <row r="26" spans="1:12" x14ac:dyDescent="0.2">
      <c r="A26" s="7" t="s">
        <v>108</v>
      </c>
      <c r="B26" s="7"/>
      <c r="C26" s="7"/>
      <c r="D26" s="7"/>
      <c r="E26" s="7"/>
      <c r="F26" s="7"/>
      <c r="G26" s="7"/>
      <c r="H26" s="7"/>
      <c r="I26" s="7">
        <v>1</v>
      </c>
      <c r="J26" s="7">
        <v>1</v>
      </c>
      <c r="K26" s="7"/>
      <c r="L26" s="7">
        <v>2</v>
      </c>
    </row>
    <row r="27" spans="1:12" x14ac:dyDescent="0.2">
      <c r="A27" s="7" t="s">
        <v>109</v>
      </c>
      <c r="B27" s="7"/>
      <c r="C27" s="7"/>
      <c r="D27" s="7"/>
      <c r="E27" s="7"/>
      <c r="F27" s="7"/>
      <c r="G27" s="7"/>
      <c r="H27" s="7"/>
      <c r="I27" s="7"/>
      <c r="J27" s="7"/>
      <c r="K27" s="7">
        <v>1</v>
      </c>
      <c r="L27" s="7">
        <v>1</v>
      </c>
    </row>
    <row r="28" spans="1:12" x14ac:dyDescent="0.2">
      <c r="A28" s="7"/>
      <c r="B28" s="7">
        <v>0</v>
      </c>
      <c r="C28" s="7"/>
      <c r="D28" s="7"/>
      <c r="E28" s="7"/>
      <c r="F28" s="7"/>
      <c r="G28" s="7"/>
      <c r="H28" s="7"/>
      <c r="I28" s="7"/>
      <c r="J28" s="7"/>
      <c r="K28" s="7"/>
      <c r="L28" s="7">
        <v>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zoomScaleNormal="100" workbookViewId="0">
      <selection activeCell="A3" sqref="A3:L28"/>
    </sheetView>
  </sheetViews>
  <sheetFormatPr baseColWidth="10" defaultColWidth="8.6640625" defaultRowHeight="15" x14ac:dyDescent="0.2"/>
  <cols>
    <col min="1" max="1" width="22" customWidth="1"/>
    <col min="2" max="7" width="14" customWidth="1"/>
  </cols>
  <sheetData>
    <row r="1" spans="1:12" ht="18" x14ac:dyDescent="0.2">
      <c r="A1" s="8" t="s">
        <v>58</v>
      </c>
      <c r="B1" s="8"/>
      <c r="C1" s="8"/>
      <c r="D1" s="8"/>
      <c r="E1" s="8"/>
      <c r="F1" s="8"/>
      <c r="G1" s="8"/>
    </row>
    <row r="3" spans="1:12" x14ac:dyDescent="0.2">
      <c r="A3" s="14" t="s">
        <v>53</v>
      </c>
      <c r="B3" s="15">
        <v>46266</v>
      </c>
      <c r="C3" s="15">
        <v>46174</v>
      </c>
      <c r="D3" s="15">
        <v>46296</v>
      </c>
      <c r="E3" s="15">
        <v>46204</v>
      </c>
      <c r="F3" s="15">
        <v>46143</v>
      </c>
      <c r="G3" s="15">
        <v>46235</v>
      </c>
      <c r="H3" s="15">
        <v>46113</v>
      </c>
      <c r="I3" s="15">
        <v>46082</v>
      </c>
      <c r="J3" s="15">
        <v>46023</v>
      </c>
      <c r="K3" s="15">
        <v>46054</v>
      </c>
      <c r="L3" s="16" t="s">
        <v>106</v>
      </c>
    </row>
    <row r="4" spans="1:12" x14ac:dyDescent="0.2">
      <c r="A4" s="7" t="s">
        <v>94</v>
      </c>
      <c r="B4" s="7">
        <v>298.25</v>
      </c>
      <c r="C4" s="7">
        <v>224.75</v>
      </c>
      <c r="D4" s="7">
        <v>59.25</v>
      </c>
      <c r="E4" s="7">
        <v>202.65</v>
      </c>
      <c r="F4" s="7">
        <v>195</v>
      </c>
      <c r="G4" s="7">
        <v>276.75</v>
      </c>
      <c r="H4" s="7">
        <v>160</v>
      </c>
      <c r="I4" s="7">
        <v>132.75</v>
      </c>
      <c r="J4" s="7">
        <v>179</v>
      </c>
      <c r="K4" s="7">
        <v>283.5</v>
      </c>
      <c r="L4" s="7">
        <v>2011.9</v>
      </c>
    </row>
    <row r="5" spans="1:12" x14ac:dyDescent="0.2">
      <c r="A5" s="7" t="s">
        <v>82</v>
      </c>
      <c r="B5" s="7">
        <v>137</v>
      </c>
      <c r="C5" s="7">
        <v>129.75</v>
      </c>
      <c r="D5" s="7">
        <v>119.5</v>
      </c>
      <c r="E5" s="7">
        <v>94.5</v>
      </c>
      <c r="F5" s="7">
        <v>82</v>
      </c>
      <c r="G5" s="7">
        <v>74.5</v>
      </c>
      <c r="H5" s="7">
        <v>36</v>
      </c>
      <c r="I5" s="7">
        <v>34.5</v>
      </c>
      <c r="J5" s="7">
        <v>13</v>
      </c>
      <c r="K5" s="7">
        <v>6</v>
      </c>
      <c r="L5" s="7">
        <v>726.75</v>
      </c>
    </row>
    <row r="6" spans="1:12" x14ac:dyDescent="0.2">
      <c r="A6" s="7" t="s">
        <v>54</v>
      </c>
      <c r="B6" s="7">
        <v>96.75</v>
      </c>
      <c r="C6" s="7">
        <v>99</v>
      </c>
      <c r="D6" s="7">
        <v>29.25</v>
      </c>
      <c r="E6" s="7">
        <v>71.650000000000006</v>
      </c>
      <c r="F6" s="7">
        <v>96.25</v>
      </c>
      <c r="G6" s="7">
        <v>17.25</v>
      </c>
      <c r="H6" s="7">
        <v>60.8</v>
      </c>
      <c r="I6" s="7">
        <v>53.25</v>
      </c>
      <c r="J6" s="7">
        <v>149.75</v>
      </c>
      <c r="K6" s="7">
        <v>25.5</v>
      </c>
      <c r="L6" s="7">
        <v>699.45</v>
      </c>
    </row>
    <row r="7" spans="1:12" x14ac:dyDescent="0.2">
      <c r="A7" s="7" t="s">
        <v>77</v>
      </c>
      <c r="B7" s="7">
        <v>39.75</v>
      </c>
      <c r="C7" s="7">
        <v>70.55</v>
      </c>
      <c r="D7" s="7">
        <v>95.5</v>
      </c>
      <c r="E7" s="7">
        <v>84.85</v>
      </c>
      <c r="F7" s="7">
        <v>26.75</v>
      </c>
      <c r="G7" s="7">
        <v>3</v>
      </c>
      <c r="H7" s="7">
        <v>60</v>
      </c>
      <c r="I7" s="7">
        <v>102.5</v>
      </c>
      <c r="J7" s="7">
        <v>27.5</v>
      </c>
      <c r="K7" s="7">
        <v>62.25</v>
      </c>
      <c r="L7" s="7">
        <v>572.65</v>
      </c>
    </row>
    <row r="8" spans="1:12" x14ac:dyDescent="0.2">
      <c r="A8" s="7" t="s">
        <v>55</v>
      </c>
      <c r="B8" s="7">
        <v>5</v>
      </c>
      <c r="C8" s="7">
        <v>9.75</v>
      </c>
      <c r="D8" s="7">
        <v>23.5</v>
      </c>
      <c r="E8" s="7">
        <v>32.25</v>
      </c>
      <c r="F8" s="7">
        <v>19.75</v>
      </c>
      <c r="G8" s="7">
        <v>11.5</v>
      </c>
      <c r="H8" s="7">
        <v>66</v>
      </c>
      <c r="I8" s="7">
        <v>28</v>
      </c>
      <c r="J8" s="7">
        <v>89</v>
      </c>
      <c r="K8" s="7">
        <v>65.5</v>
      </c>
      <c r="L8" s="7">
        <v>350.25</v>
      </c>
    </row>
    <row r="9" spans="1:12" x14ac:dyDescent="0.2">
      <c r="A9" s="7" t="s">
        <v>79</v>
      </c>
      <c r="B9" s="7">
        <v>21.25</v>
      </c>
      <c r="C9" s="7">
        <v>1</v>
      </c>
      <c r="D9" s="7">
        <v>12</v>
      </c>
      <c r="E9" s="7">
        <v>34</v>
      </c>
      <c r="F9" s="7">
        <v>1</v>
      </c>
      <c r="G9" s="7"/>
      <c r="H9" s="7">
        <v>84</v>
      </c>
      <c r="I9" s="7">
        <v>71.5</v>
      </c>
      <c r="J9" s="7">
        <v>29.25</v>
      </c>
      <c r="K9" s="7">
        <v>43.5</v>
      </c>
      <c r="L9" s="7">
        <v>297.5</v>
      </c>
    </row>
    <row r="10" spans="1:12" x14ac:dyDescent="0.2">
      <c r="A10" s="7" t="s">
        <v>81</v>
      </c>
      <c r="B10" s="7">
        <v>29</v>
      </c>
      <c r="C10" s="7">
        <v>32</v>
      </c>
      <c r="D10" s="7">
        <v>2.5</v>
      </c>
      <c r="E10" s="7">
        <v>34.5</v>
      </c>
      <c r="F10" s="7">
        <v>37.5</v>
      </c>
      <c r="G10" s="7">
        <v>6.5</v>
      </c>
      <c r="H10" s="7">
        <v>40.5</v>
      </c>
      <c r="I10" s="7">
        <v>38</v>
      </c>
      <c r="J10" s="7">
        <v>16.75</v>
      </c>
      <c r="K10" s="7">
        <v>8</v>
      </c>
      <c r="L10" s="7">
        <v>245.25</v>
      </c>
    </row>
    <row r="11" spans="1:12" x14ac:dyDescent="0.2">
      <c r="A11" s="7" t="s">
        <v>80</v>
      </c>
      <c r="B11" s="7">
        <v>21</v>
      </c>
      <c r="C11" s="7">
        <v>4</v>
      </c>
      <c r="D11" s="7">
        <v>1</v>
      </c>
      <c r="E11" s="7">
        <v>21.5</v>
      </c>
      <c r="F11" s="7">
        <v>24.75</v>
      </c>
      <c r="G11" s="7"/>
      <c r="H11" s="7">
        <v>2</v>
      </c>
      <c r="I11" s="7">
        <v>28.5</v>
      </c>
      <c r="J11" s="7">
        <v>74</v>
      </c>
      <c r="K11" s="7">
        <v>53.5</v>
      </c>
      <c r="L11" s="7">
        <v>230.25</v>
      </c>
    </row>
    <row r="12" spans="1:12" x14ac:dyDescent="0.2">
      <c r="A12" s="7" t="s">
        <v>57</v>
      </c>
      <c r="B12" s="7">
        <v>33.25</v>
      </c>
      <c r="C12" s="7">
        <v>11</v>
      </c>
      <c r="D12" s="7"/>
      <c r="E12" s="7">
        <v>31</v>
      </c>
      <c r="F12" s="7">
        <v>32.5</v>
      </c>
      <c r="G12" s="7">
        <v>29.25</v>
      </c>
      <c r="H12" s="7">
        <v>20.5</v>
      </c>
      <c r="I12" s="7">
        <v>11.5</v>
      </c>
      <c r="J12" s="7">
        <v>24.25</v>
      </c>
      <c r="K12" s="7">
        <v>15</v>
      </c>
      <c r="L12" s="7">
        <v>208.25</v>
      </c>
    </row>
    <row r="13" spans="1:12" x14ac:dyDescent="0.2">
      <c r="A13" s="7" t="s">
        <v>78</v>
      </c>
      <c r="B13" s="7">
        <v>4.75</v>
      </c>
      <c r="C13" s="7">
        <v>7.75</v>
      </c>
      <c r="D13" s="7">
        <v>8.5</v>
      </c>
      <c r="E13" s="7">
        <v>5.25</v>
      </c>
      <c r="F13" s="7">
        <v>5</v>
      </c>
      <c r="G13" s="7">
        <v>2.5</v>
      </c>
      <c r="H13" s="7">
        <v>17.5</v>
      </c>
      <c r="I13" s="7">
        <v>18.25</v>
      </c>
      <c r="J13" s="7">
        <v>9</v>
      </c>
      <c r="K13" s="7">
        <v>13</v>
      </c>
      <c r="L13" s="7">
        <v>91.5</v>
      </c>
    </row>
    <row r="14" spans="1:12" x14ac:dyDescent="0.2">
      <c r="A14" s="7" t="s">
        <v>87</v>
      </c>
      <c r="B14" s="7"/>
      <c r="C14" s="7">
        <v>10.5</v>
      </c>
      <c r="D14" s="7">
        <v>2</v>
      </c>
      <c r="E14" s="7"/>
      <c r="F14" s="7">
        <v>48</v>
      </c>
      <c r="G14" s="7"/>
      <c r="H14" s="7">
        <v>3</v>
      </c>
      <c r="I14" s="7"/>
      <c r="J14" s="7"/>
      <c r="K14" s="7">
        <v>5</v>
      </c>
      <c r="L14" s="7">
        <v>68.5</v>
      </c>
    </row>
    <row r="15" spans="1:12" x14ac:dyDescent="0.2">
      <c r="A15" s="7" t="s">
        <v>85</v>
      </c>
      <c r="B15" s="7">
        <v>7</v>
      </c>
      <c r="C15" s="7">
        <v>20</v>
      </c>
      <c r="D15" s="7">
        <v>2</v>
      </c>
      <c r="E15" s="7">
        <v>11.75</v>
      </c>
      <c r="F15" s="7">
        <v>3.25</v>
      </c>
      <c r="G15" s="7"/>
      <c r="H15" s="7">
        <v>4</v>
      </c>
      <c r="I15" s="7">
        <v>5</v>
      </c>
      <c r="J15" s="7"/>
      <c r="K15" s="7">
        <v>14.5</v>
      </c>
      <c r="L15" s="7">
        <v>67.5</v>
      </c>
    </row>
    <row r="16" spans="1:12" x14ac:dyDescent="0.2">
      <c r="A16" s="7" t="s">
        <v>86</v>
      </c>
      <c r="B16" s="7"/>
      <c r="C16" s="7"/>
      <c r="D16" s="7">
        <v>4</v>
      </c>
      <c r="E16" s="7">
        <v>7.25</v>
      </c>
      <c r="F16" s="7">
        <v>4.5</v>
      </c>
      <c r="G16" s="7"/>
      <c r="H16" s="7"/>
      <c r="I16" s="7"/>
      <c r="J16" s="7">
        <v>39.5</v>
      </c>
      <c r="K16" s="7">
        <v>8</v>
      </c>
      <c r="L16" s="7">
        <v>63.25</v>
      </c>
    </row>
    <row r="17" spans="1:12" x14ac:dyDescent="0.2">
      <c r="A17" s="7" t="s">
        <v>83</v>
      </c>
      <c r="B17" s="7">
        <v>3</v>
      </c>
      <c r="C17" s="7">
        <v>17.75</v>
      </c>
      <c r="D17" s="7">
        <v>5</v>
      </c>
      <c r="E17" s="7">
        <v>2</v>
      </c>
      <c r="F17" s="7">
        <v>1</v>
      </c>
      <c r="G17" s="7"/>
      <c r="H17" s="7">
        <v>16.75</v>
      </c>
      <c r="I17" s="7"/>
      <c r="J17" s="7">
        <v>3</v>
      </c>
      <c r="K17" s="7">
        <v>4</v>
      </c>
      <c r="L17" s="7">
        <v>52.5</v>
      </c>
    </row>
    <row r="18" spans="1:12" x14ac:dyDescent="0.2">
      <c r="A18" s="7" t="s">
        <v>84</v>
      </c>
      <c r="B18" s="7">
        <v>17.5</v>
      </c>
      <c r="C18" s="7">
        <v>7</v>
      </c>
      <c r="D18" s="7">
        <v>4.5</v>
      </c>
      <c r="E18" s="7">
        <v>3</v>
      </c>
      <c r="F18" s="7"/>
      <c r="G18" s="7"/>
      <c r="H18" s="7">
        <v>1</v>
      </c>
      <c r="I18" s="7">
        <v>1</v>
      </c>
      <c r="J18" s="7">
        <v>5</v>
      </c>
      <c r="K18" s="7">
        <v>1</v>
      </c>
      <c r="L18" s="7">
        <v>40</v>
      </c>
    </row>
    <row r="19" spans="1:12" x14ac:dyDescent="0.2">
      <c r="A19" s="7" t="s">
        <v>90</v>
      </c>
      <c r="B19" s="7">
        <v>2</v>
      </c>
      <c r="C19" s="7">
        <v>2</v>
      </c>
      <c r="D19" s="7">
        <v>2</v>
      </c>
      <c r="E19" s="7"/>
      <c r="F19" s="7">
        <v>4</v>
      </c>
      <c r="G19" s="7"/>
      <c r="H19" s="7"/>
      <c r="I19" s="7">
        <v>8.75</v>
      </c>
      <c r="J19" s="7">
        <v>4.5</v>
      </c>
      <c r="K19" s="7">
        <v>10.5</v>
      </c>
      <c r="L19" s="7">
        <v>33.75</v>
      </c>
    </row>
    <row r="20" spans="1:12" x14ac:dyDescent="0.2">
      <c r="A20" s="7" t="s">
        <v>92</v>
      </c>
      <c r="B20" s="7"/>
      <c r="C20" s="7"/>
      <c r="D20" s="7">
        <v>0.25</v>
      </c>
      <c r="E20" s="7">
        <v>9.75</v>
      </c>
      <c r="F20" s="7"/>
      <c r="G20" s="7">
        <v>11</v>
      </c>
      <c r="H20" s="7"/>
      <c r="I20" s="7"/>
      <c r="J20" s="7">
        <v>12</v>
      </c>
      <c r="K20" s="7"/>
      <c r="L20" s="7">
        <v>33</v>
      </c>
    </row>
    <row r="21" spans="1:12" x14ac:dyDescent="0.2">
      <c r="A21" s="7" t="s">
        <v>91</v>
      </c>
      <c r="B21" s="7"/>
      <c r="C21" s="7">
        <v>8</v>
      </c>
      <c r="D21" s="7"/>
      <c r="E21" s="7"/>
      <c r="F21" s="7"/>
      <c r="G21" s="7"/>
      <c r="H21" s="7"/>
      <c r="I21" s="7">
        <v>24.25</v>
      </c>
      <c r="J21" s="7"/>
      <c r="K21" s="7"/>
      <c r="L21" s="7">
        <v>32.25</v>
      </c>
    </row>
    <row r="22" spans="1:12" x14ac:dyDescent="0.2">
      <c r="A22" s="7" t="s">
        <v>93</v>
      </c>
      <c r="B22" s="7">
        <v>4</v>
      </c>
      <c r="C22" s="7">
        <v>11</v>
      </c>
      <c r="D22" s="7">
        <v>1</v>
      </c>
      <c r="E22" s="7">
        <v>2</v>
      </c>
      <c r="F22" s="7"/>
      <c r="G22" s="7"/>
      <c r="H22" s="7"/>
      <c r="I22" s="7">
        <v>13</v>
      </c>
      <c r="J22" s="7"/>
      <c r="K22" s="7"/>
      <c r="L22" s="7">
        <v>31</v>
      </c>
    </row>
    <row r="23" spans="1:12" x14ac:dyDescent="0.2">
      <c r="A23" s="7" t="s">
        <v>88</v>
      </c>
      <c r="B23" s="7">
        <v>1.75</v>
      </c>
      <c r="C23" s="7">
        <v>1.5</v>
      </c>
      <c r="D23" s="7">
        <v>0</v>
      </c>
      <c r="E23" s="7">
        <v>13</v>
      </c>
      <c r="F23" s="7">
        <v>5</v>
      </c>
      <c r="G23" s="7"/>
      <c r="H23" s="7"/>
      <c r="I23" s="7">
        <v>1</v>
      </c>
      <c r="J23" s="7"/>
      <c r="K23" s="7">
        <v>3.5</v>
      </c>
      <c r="L23" s="7">
        <v>25.75</v>
      </c>
    </row>
    <row r="24" spans="1:12" x14ac:dyDescent="0.2">
      <c r="A24" s="7" t="s">
        <v>103</v>
      </c>
      <c r="B24" s="7"/>
      <c r="C24" s="7">
        <v>1</v>
      </c>
      <c r="D24" s="7">
        <v>10</v>
      </c>
      <c r="E24" s="7"/>
      <c r="F24" s="7">
        <v>1</v>
      </c>
      <c r="G24" s="7"/>
      <c r="H24" s="7"/>
      <c r="I24" s="7"/>
      <c r="J24" s="7"/>
      <c r="K24" s="7"/>
      <c r="L24" s="7">
        <v>12</v>
      </c>
    </row>
    <row r="25" spans="1:12" x14ac:dyDescent="0.2">
      <c r="A25" s="7" t="s">
        <v>89</v>
      </c>
      <c r="B25" s="7"/>
      <c r="C25" s="7"/>
      <c r="D25" s="7"/>
      <c r="E25" s="7"/>
      <c r="F25" s="7"/>
      <c r="G25" s="7"/>
      <c r="H25" s="7"/>
      <c r="I25" s="7">
        <v>6.5</v>
      </c>
      <c r="J25" s="7"/>
      <c r="K25" s="7">
        <v>5</v>
      </c>
      <c r="L25" s="7">
        <v>11.5</v>
      </c>
    </row>
    <row r="26" spans="1:12" x14ac:dyDescent="0.2">
      <c r="A26" s="7" t="s">
        <v>108</v>
      </c>
      <c r="B26" s="7">
        <v>5</v>
      </c>
      <c r="C26" s="7"/>
      <c r="D26" s="7"/>
      <c r="E26" s="7"/>
      <c r="F26" s="7"/>
      <c r="G26" s="7">
        <v>5</v>
      </c>
      <c r="H26" s="7"/>
      <c r="I26" s="7"/>
      <c r="J26" s="7"/>
      <c r="K26" s="7"/>
      <c r="L26" s="7">
        <v>10</v>
      </c>
    </row>
    <row r="27" spans="1:12" x14ac:dyDescent="0.2">
      <c r="A27" s="7" t="s">
        <v>109</v>
      </c>
      <c r="B27" s="7"/>
      <c r="C27" s="7"/>
      <c r="D27" s="7">
        <v>3.5</v>
      </c>
      <c r="E27" s="7"/>
      <c r="F27" s="7"/>
      <c r="G27" s="7"/>
      <c r="H27" s="7"/>
      <c r="I27" s="7"/>
      <c r="J27" s="7"/>
      <c r="K27" s="7"/>
      <c r="L27" s="7">
        <v>3.5</v>
      </c>
    </row>
    <row r="28" spans="1:12" x14ac:dyDescent="0.2">
      <c r="A28" s="17" t="s">
        <v>106</v>
      </c>
      <c r="B28" s="17">
        <v>726.25</v>
      </c>
      <c r="C28" s="17">
        <v>668.3</v>
      </c>
      <c r="D28" s="17">
        <v>385.25</v>
      </c>
      <c r="E28" s="17">
        <v>660.9</v>
      </c>
      <c r="F28" s="17">
        <v>587.25</v>
      </c>
      <c r="G28" s="17">
        <v>437.25</v>
      </c>
      <c r="H28" s="17">
        <v>572.04999999999995</v>
      </c>
      <c r="I28" s="17">
        <v>578.25</v>
      </c>
      <c r="J28" s="17">
        <v>675.5</v>
      </c>
      <c r="K28" s="17">
        <v>627.25</v>
      </c>
      <c r="L28" s="17">
        <v>5918.25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zoomScaleNormal="100" workbookViewId="0">
      <selection activeCell="A3" sqref="A3:L10"/>
    </sheetView>
  </sheetViews>
  <sheetFormatPr baseColWidth="10" defaultColWidth="8.6640625" defaultRowHeight="15" x14ac:dyDescent="0.2"/>
  <cols>
    <col min="1" max="1" width="22" customWidth="1"/>
    <col min="2" max="7" width="14" customWidth="1"/>
  </cols>
  <sheetData>
    <row r="1" spans="1:12" ht="18" x14ac:dyDescent="0.2">
      <c r="A1" s="8" t="s">
        <v>59</v>
      </c>
      <c r="B1" s="8"/>
      <c r="C1" s="8"/>
      <c r="D1" s="8"/>
      <c r="E1" s="8"/>
      <c r="F1" s="8"/>
      <c r="G1" s="8"/>
    </row>
    <row r="3" spans="1:12" x14ac:dyDescent="0.2">
      <c r="A3" s="14" t="s">
        <v>41</v>
      </c>
      <c r="B3" s="15">
        <v>46023</v>
      </c>
      <c r="C3" s="15">
        <v>46054</v>
      </c>
      <c r="D3" s="15">
        <v>46082</v>
      </c>
      <c r="E3" s="15">
        <v>46113</v>
      </c>
      <c r="F3" s="15">
        <v>46143</v>
      </c>
      <c r="G3" s="15">
        <v>46174</v>
      </c>
      <c r="H3" s="15">
        <v>46204</v>
      </c>
      <c r="I3" s="15">
        <v>46235</v>
      </c>
      <c r="J3" s="15">
        <v>46266</v>
      </c>
      <c r="K3" s="15">
        <v>46296</v>
      </c>
      <c r="L3" s="16" t="s">
        <v>106</v>
      </c>
    </row>
    <row r="4" spans="1:12" x14ac:dyDescent="0.2">
      <c r="A4" s="7" t="s">
        <v>60</v>
      </c>
      <c r="B4" s="7">
        <v>77</v>
      </c>
      <c r="C4" s="7">
        <v>73</v>
      </c>
      <c r="D4" s="7">
        <v>66</v>
      </c>
      <c r="E4" s="7">
        <v>57</v>
      </c>
      <c r="F4" s="7">
        <v>87</v>
      </c>
      <c r="G4" s="7">
        <v>97</v>
      </c>
      <c r="H4" s="7">
        <v>106</v>
      </c>
      <c r="I4" s="7">
        <v>25</v>
      </c>
      <c r="J4" s="7">
        <v>76</v>
      </c>
      <c r="K4" s="7">
        <v>87</v>
      </c>
      <c r="L4" s="7">
        <v>751</v>
      </c>
    </row>
    <row r="5" spans="1:12" x14ac:dyDescent="0.2">
      <c r="A5" s="7" t="s">
        <v>61</v>
      </c>
      <c r="B5" s="7">
        <v>27</v>
      </c>
      <c r="C5" s="7">
        <v>14</v>
      </c>
      <c r="D5" s="7">
        <v>18</v>
      </c>
      <c r="E5" s="7">
        <v>15</v>
      </c>
      <c r="F5" s="7">
        <v>10</v>
      </c>
      <c r="G5" s="7">
        <v>36</v>
      </c>
      <c r="H5" s="7">
        <v>12</v>
      </c>
      <c r="I5" s="7">
        <v>3</v>
      </c>
      <c r="J5" s="7">
        <v>9</v>
      </c>
      <c r="K5" s="7">
        <v>11</v>
      </c>
      <c r="L5" s="7">
        <v>155</v>
      </c>
    </row>
    <row r="6" spans="1:12" x14ac:dyDescent="0.2">
      <c r="A6" s="7" t="s">
        <v>63</v>
      </c>
      <c r="B6" s="7">
        <v>4</v>
      </c>
      <c r="C6" s="7">
        <v>13</v>
      </c>
      <c r="D6" s="7">
        <v>4</v>
      </c>
      <c r="E6" s="7">
        <v>16</v>
      </c>
      <c r="F6" s="7">
        <v>13</v>
      </c>
      <c r="G6" s="7">
        <v>13</v>
      </c>
      <c r="H6" s="7">
        <v>13</v>
      </c>
      <c r="I6" s="7">
        <v>2</v>
      </c>
      <c r="J6" s="7">
        <v>24</v>
      </c>
      <c r="K6" s="7">
        <v>36</v>
      </c>
      <c r="L6" s="7">
        <v>138</v>
      </c>
    </row>
    <row r="7" spans="1:12" x14ac:dyDescent="0.2">
      <c r="A7" s="7" t="s">
        <v>62</v>
      </c>
      <c r="B7" s="7"/>
      <c r="C7" s="7">
        <v>5</v>
      </c>
      <c r="D7" s="7">
        <v>3</v>
      </c>
      <c r="E7" s="7"/>
      <c r="F7" s="7">
        <v>1</v>
      </c>
      <c r="G7" s="7">
        <v>1</v>
      </c>
      <c r="H7" s="7">
        <v>1</v>
      </c>
      <c r="I7" s="7"/>
      <c r="J7" s="7">
        <v>1</v>
      </c>
      <c r="K7" s="7">
        <v>1</v>
      </c>
      <c r="L7" s="7">
        <v>13</v>
      </c>
    </row>
    <row r="8" spans="1:12" x14ac:dyDescent="0.2">
      <c r="A8" s="7" t="s">
        <v>104</v>
      </c>
      <c r="B8" s="7"/>
      <c r="C8" s="7"/>
      <c r="D8" s="7"/>
      <c r="E8" s="7"/>
      <c r="F8" s="7">
        <v>1</v>
      </c>
      <c r="G8" s="7">
        <v>1</v>
      </c>
      <c r="H8" s="7">
        <v>4</v>
      </c>
      <c r="I8" s="7"/>
      <c r="J8" s="7">
        <v>2</v>
      </c>
      <c r="K8" s="7">
        <v>2</v>
      </c>
      <c r="L8" s="7">
        <v>10</v>
      </c>
    </row>
    <row r="9" spans="1:12" x14ac:dyDescent="0.2">
      <c r="A9" s="7" t="s">
        <v>95</v>
      </c>
      <c r="B9" s="7">
        <v>3</v>
      </c>
      <c r="C9" s="7">
        <v>2</v>
      </c>
      <c r="D9" s="7"/>
      <c r="E9" s="7"/>
      <c r="F9" s="7">
        <v>2</v>
      </c>
      <c r="G9" s="7">
        <v>1</v>
      </c>
      <c r="H9" s="7"/>
      <c r="I9" s="7"/>
      <c r="J9" s="7"/>
      <c r="K9" s="7">
        <v>2</v>
      </c>
      <c r="L9" s="7">
        <v>10</v>
      </c>
    </row>
    <row r="10" spans="1:12" x14ac:dyDescent="0.2">
      <c r="A10" s="17" t="s">
        <v>106</v>
      </c>
      <c r="B10" s="17">
        <v>111</v>
      </c>
      <c r="C10" s="17">
        <v>107</v>
      </c>
      <c r="D10" s="17">
        <v>91</v>
      </c>
      <c r="E10" s="17">
        <v>88</v>
      </c>
      <c r="F10" s="17">
        <v>114</v>
      </c>
      <c r="G10" s="17">
        <v>149</v>
      </c>
      <c r="H10" s="17">
        <v>136</v>
      </c>
      <c r="I10" s="17">
        <v>30</v>
      </c>
      <c r="J10" s="17">
        <v>112</v>
      </c>
      <c r="K10" s="17">
        <v>139</v>
      </c>
      <c r="L10" s="17">
        <v>1077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zoomScaleNormal="100" workbookViewId="0">
      <selection activeCell="E12" sqref="E12"/>
    </sheetView>
  </sheetViews>
  <sheetFormatPr baseColWidth="10" defaultColWidth="8.6640625" defaultRowHeight="15" x14ac:dyDescent="0.2"/>
  <cols>
    <col min="1" max="1" width="28" customWidth="1"/>
    <col min="2" max="6" width="14" customWidth="1"/>
  </cols>
  <sheetData>
    <row r="1" spans="1:6" ht="18" x14ac:dyDescent="0.2">
      <c r="A1" s="8" t="s">
        <v>64</v>
      </c>
      <c r="B1" s="8"/>
      <c r="C1" s="8"/>
      <c r="D1" s="8"/>
      <c r="E1" s="8"/>
      <c r="F1" s="8"/>
    </row>
    <row r="3" spans="1:6" x14ac:dyDescent="0.2">
      <c r="A3" s="4" t="s">
        <v>65</v>
      </c>
      <c r="B3" s="4" t="s">
        <v>97</v>
      </c>
      <c r="C3" s="4" t="s">
        <v>98</v>
      </c>
      <c r="D3" s="4" t="s">
        <v>99</v>
      </c>
      <c r="E3" s="4" t="s">
        <v>96</v>
      </c>
      <c r="F3" s="4" t="s">
        <v>102</v>
      </c>
    </row>
    <row r="4" spans="1:6" x14ac:dyDescent="0.2">
      <c r="A4" s="6" t="s">
        <v>105</v>
      </c>
      <c r="B4" s="7">
        <v>2.0299999999999998</v>
      </c>
      <c r="C4" s="7">
        <v>2.38</v>
      </c>
      <c r="D4" s="7">
        <v>2.35</v>
      </c>
      <c r="E4" s="7">
        <v>2</v>
      </c>
      <c r="F4" s="7">
        <v>2</v>
      </c>
    </row>
    <row r="5" spans="1:6" x14ac:dyDescent="0.2">
      <c r="A5" s="6" t="s">
        <v>56</v>
      </c>
      <c r="B5" s="7">
        <v>2.06</v>
      </c>
      <c r="C5" s="7">
        <v>1.84</v>
      </c>
      <c r="D5" s="7">
        <v>1.63</v>
      </c>
      <c r="E5" s="7">
        <v>1.7</v>
      </c>
      <c r="F5" s="7">
        <v>1.6</v>
      </c>
    </row>
    <row r="6" spans="1:6" x14ac:dyDescent="0.2">
      <c r="A6" s="4" t="s">
        <v>66</v>
      </c>
      <c r="B6" s="9">
        <f>AVERAGE(B4:F5)</f>
        <v>1.9590000000000001</v>
      </c>
      <c r="C6" s="9"/>
      <c r="D6" s="9"/>
      <c r="E6" s="9"/>
      <c r="F6" s="9"/>
    </row>
  </sheetData>
  <mergeCells count="2">
    <mergeCell ref="A1:F1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zoomScaleNormal="100" workbookViewId="0">
      <selection activeCell="B9" sqref="B9"/>
    </sheetView>
  </sheetViews>
  <sheetFormatPr baseColWidth="10" defaultColWidth="8.6640625" defaultRowHeight="15" x14ac:dyDescent="0.2"/>
  <cols>
    <col min="1" max="1" width="28" customWidth="1"/>
    <col min="2" max="7" width="14" customWidth="1"/>
  </cols>
  <sheetData>
    <row r="1" spans="1:12" ht="18" x14ac:dyDescent="0.2">
      <c r="A1" s="8" t="s">
        <v>67</v>
      </c>
      <c r="B1" s="8"/>
      <c r="C1" s="8"/>
      <c r="D1" s="8"/>
      <c r="E1" s="8"/>
      <c r="F1" s="8"/>
      <c r="G1" s="8"/>
    </row>
    <row r="3" spans="1:12" x14ac:dyDescent="0.2">
      <c r="A3" s="14" t="s">
        <v>35</v>
      </c>
      <c r="B3" s="15">
        <v>46023</v>
      </c>
      <c r="C3" s="15">
        <v>46054</v>
      </c>
      <c r="D3" s="15">
        <v>46082</v>
      </c>
      <c r="E3" s="15">
        <v>46113</v>
      </c>
      <c r="F3" s="15">
        <v>46143</v>
      </c>
      <c r="G3" s="15">
        <v>46174</v>
      </c>
      <c r="H3" s="15">
        <v>46204</v>
      </c>
      <c r="I3" s="15">
        <v>46235</v>
      </c>
      <c r="J3" s="15">
        <v>46266</v>
      </c>
      <c r="K3" s="15">
        <v>46296</v>
      </c>
      <c r="L3" s="16" t="s">
        <v>106</v>
      </c>
    </row>
    <row r="4" spans="1:12" x14ac:dyDescent="0.2">
      <c r="A4" s="7" t="s">
        <v>111</v>
      </c>
      <c r="B4" s="7">
        <v>25</v>
      </c>
      <c r="C4" s="7">
        <v>21</v>
      </c>
      <c r="D4" s="7">
        <v>22</v>
      </c>
      <c r="E4" s="7">
        <v>7</v>
      </c>
      <c r="F4" s="7">
        <v>19</v>
      </c>
      <c r="G4" s="7">
        <v>29</v>
      </c>
      <c r="H4" s="7">
        <v>36</v>
      </c>
      <c r="I4" s="7">
        <v>7</v>
      </c>
      <c r="J4" s="7">
        <v>16</v>
      </c>
      <c r="K4" s="7">
        <v>22</v>
      </c>
      <c r="L4" s="7">
        <v>204</v>
      </c>
    </row>
    <row r="5" spans="1:12" x14ac:dyDescent="0.2">
      <c r="A5" t="s">
        <v>110</v>
      </c>
      <c r="B5" s="7">
        <v>13.75</v>
      </c>
      <c r="C5" s="7">
        <v>23.25</v>
      </c>
      <c r="D5" s="7">
        <v>19</v>
      </c>
      <c r="E5" s="7">
        <v>5</v>
      </c>
      <c r="F5" s="7">
        <v>12.25</v>
      </c>
      <c r="G5" s="7">
        <v>14.55</v>
      </c>
      <c r="H5" s="7">
        <v>30.6</v>
      </c>
      <c r="I5" s="7">
        <v>12.75</v>
      </c>
      <c r="J5" s="7">
        <v>22</v>
      </c>
      <c r="K5" s="7">
        <v>8.5</v>
      </c>
      <c r="L5" s="7">
        <v>161.65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C5E1-D8EF-BD4B-9990-2660E94F2C3D}">
  <dimension ref="A1:G5"/>
  <sheetViews>
    <sheetView tabSelected="1" workbookViewId="0">
      <selection activeCell="G23" sqref="G23"/>
    </sheetView>
  </sheetViews>
  <sheetFormatPr baseColWidth="10" defaultColWidth="11.5" defaultRowHeight="15" x14ac:dyDescent="0.2"/>
  <sheetData>
    <row r="1" spans="1:7" ht="18" x14ac:dyDescent="0.2">
      <c r="A1" s="8" t="s">
        <v>100</v>
      </c>
      <c r="B1" s="8"/>
      <c r="C1" s="8"/>
      <c r="D1" s="8"/>
      <c r="E1" s="8"/>
      <c r="F1" s="8"/>
      <c r="G1" s="8"/>
    </row>
    <row r="3" spans="1:7" x14ac:dyDescent="0.2">
      <c r="A3" s="14" t="s">
        <v>112</v>
      </c>
      <c r="B3" s="15">
        <v>46023</v>
      </c>
      <c r="C3" s="15">
        <v>46113</v>
      </c>
      <c r="D3" s="15">
        <v>46143</v>
      </c>
      <c r="E3" s="16" t="s">
        <v>106</v>
      </c>
    </row>
    <row r="4" spans="1:7" x14ac:dyDescent="0.2">
      <c r="A4" s="7" t="s">
        <v>101</v>
      </c>
      <c r="B4" s="7">
        <v>2</v>
      </c>
      <c r="C4" s="7">
        <v>8</v>
      </c>
      <c r="D4" s="7">
        <v>3</v>
      </c>
      <c r="E4" s="7">
        <v>13</v>
      </c>
    </row>
    <row r="5" spans="1:7" x14ac:dyDescent="0.2">
      <c r="A5" s="17" t="s">
        <v>106</v>
      </c>
      <c r="B5" s="17">
        <v>2</v>
      </c>
      <c r="C5" s="17">
        <v>8</v>
      </c>
      <c r="D5" s="17">
        <v>3</v>
      </c>
      <c r="E5" s="17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Tipologia</vt:lpstr>
      <vt:lpstr>Negocio_Volumen</vt:lpstr>
      <vt:lpstr>Negocio_Horas</vt:lpstr>
      <vt:lpstr>Ciudad</vt:lpstr>
      <vt:lpstr>Entrega</vt:lpstr>
      <vt:lpstr>RRSS</vt:lpstr>
      <vt:lpstr>Freelance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Óscar Nieto Sánchez</cp:lastModifiedBy>
  <cp:revision>0</cp:revision>
  <dcterms:created xsi:type="dcterms:W3CDTF">2026-04-25T10:40:12Z</dcterms:created>
  <dcterms:modified xsi:type="dcterms:W3CDTF">2026-10-27T08:30:16Z</dcterms:modified>
  <dc:language>en-US</dc:language>
</cp:coreProperties>
</file>