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oscar.nieto/Desktop/"/>
    </mc:Choice>
  </mc:AlternateContent>
  <xr:revisionPtr revIDLastSave="0" documentId="13_ncr:1_{6AC3C1EF-0AE6-8646-A550-4243EF3E28C5}" xr6:coauthVersionLast="47" xr6:coauthVersionMax="47" xr10:uidLastSave="{00000000-0000-0000-0000-000000000000}"/>
  <bookViews>
    <workbookView xWindow="0" yWindow="660" windowWidth="17300" windowHeight="21680" tabRatio="500" activeTab="1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8" l="1"/>
  <c r="E5" i="7" l="1"/>
  <c r="F5" i="7" s="1"/>
  <c r="E4" i="7"/>
  <c r="E4" i="5"/>
  <c r="E5" i="5"/>
  <c r="E9" i="5" s="1"/>
  <c r="E19" i="4"/>
  <c r="E8" i="4"/>
  <c r="E6" i="4"/>
  <c r="E13" i="3"/>
  <c r="E12" i="2"/>
  <c r="F12" i="2" s="1"/>
  <c r="E10" i="2"/>
  <c r="E9" i="2"/>
  <c r="E7" i="2"/>
  <c r="E5" i="2"/>
  <c r="D8" i="2"/>
  <c r="E6" i="2"/>
  <c r="E4" i="2"/>
  <c r="D5" i="7"/>
  <c r="D4" i="7"/>
  <c r="D4" i="5"/>
  <c r="D5" i="5"/>
  <c r="D6" i="4"/>
  <c r="D10" i="4"/>
  <c r="D17" i="4"/>
  <c r="D19" i="4"/>
  <c r="D13" i="3"/>
  <c r="D7" i="2"/>
  <c r="D14" i="2"/>
  <c r="F14" i="2" s="1"/>
  <c r="D10" i="2"/>
  <c r="D5" i="2"/>
  <c r="D4" i="2"/>
  <c r="C7" i="5"/>
  <c r="C4" i="5"/>
  <c r="C9" i="5" s="1"/>
  <c r="C6" i="5"/>
  <c r="C5" i="5"/>
  <c r="C23" i="4"/>
  <c r="C6" i="4"/>
  <c r="C17" i="4"/>
  <c r="C19" i="4"/>
  <c r="C7" i="2"/>
  <c r="C8" i="2"/>
  <c r="F8" i="2" s="1"/>
  <c r="C9" i="2"/>
  <c r="C10" i="2"/>
  <c r="C4" i="2"/>
  <c r="C13" i="3"/>
  <c r="B9" i="2"/>
  <c r="E7" i="3"/>
  <c r="E24" i="3"/>
  <c r="E4" i="3"/>
  <c r="D4" i="3"/>
  <c r="D14" i="3"/>
  <c r="D10" i="3"/>
  <c r="C4" i="3"/>
  <c r="C15" i="3"/>
  <c r="B10" i="4"/>
  <c r="B17" i="4"/>
  <c r="B6" i="4"/>
  <c r="B14" i="3"/>
  <c r="B10" i="3"/>
  <c r="B4" i="3"/>
  <c r="B6" i="5"/>
  <c r="F6" i="5" s="1"/>
  <c r="B5" i="5"/>
  <c r="B4" i="5"/>
  <c r="B5" i="7"/>
  <c r="B4" i="7"/>
  <c r="F4" i="7" s="1"/>
  <c r="B8" i="2"/>
  <c r="B15" i="2"/>
  <c r="B12" i="2"/>
  <c r="B10" i="2"/>
  <c r="B7" i="2"/>
  <c r="B5" i="2"/>
  <c r="B4" i="2"/>
  <c r="B13" i="3"/>
  <c r="F7" i="5"/>
  <c r="F8" i="5"/>
  <c r="D9" i="5"/>
  <c r="F4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20" i="4"/>
  <c r="F21" i="4"/>
  <c r="F22" i="4"/>
  <c r="F23" i="4"/>
  <c r="F24" i="4"/>
  <c r="F25" i="4"/>
  <c r="E26" i="4"/>
  <c r="B18" i="2"/>
  <c r="B26" i="4"/>
  <c r="D26" i="4"/>
  <c r="F5" i="3"/>
  <c r="F6" i="3"/>
  <c r="F7" i="3"/>
  <c r="F8" i="3"/>
  <c r="F9" i="3"/>
  <c r="F10" i="3"/>
  <c r="F11" i="3"/>
  <c r="F12" i="3"/>
  <c r="F14" i="3"/>
  <c r="F15" i="3"/>
  <c r="F16" i="3"/>
  <c r="F17" i="3"/>
  <c r="F18" i="3"/>
  <c r="F19" i="3"/>
  <c r="F20" i="3"/>
  <c r="F21" i="3"/>
  <c r="F22" i="3"/>
  <c r="F23" i="3"/>
  <c r="F24" i="3"/>
  <c r="F6" i="2"/>
  <c r="F10" i="2"/>
  <c r="F11" i="2"/>
  <c r="F13" i="2"/>
  <c r="F15" i="2"/>
  <c r="F16" i="2"/>
  <c r="F17" i="2"/>
  <c r="B5" i="6"/>
  <c r="F5" i="5" l="1"/>
  <c r="E25" i="3"/>
  <c r="F7" i="2"/>
  <c r="F5" i="2"/>
  <c r="E18" i="2"/>
  <c r="F4" i="2"/>
  <c r="F10" i="4"/>
  <c r="D18" i="2"/>
  <c r="F4" i="5"/>
  <c r="C26" i="4"/>
  <c r="F26" i="4" s="1"/>
  <c r="F19" i="4"/>
  <c r="C18" i="2"/>
  <c r="F9" i="2"/>
  <c r="F4" i="3"/>
  <c r="D25" i="3"/>
  <c r="C25" i="3"/>
  <c r="B25" i="3"/>
  <c r="B9" i="5"/>
  <c r="F9" i="5" s="1"/>
  <c r="F13" i="3"/>
  <c r="F25" i="3" s="1"/>
  <c r="F18" i="2" l="1"/>
</calcChain>
</file>

<file path=xl/sharedStrings.xml><?xml version="1.0" encoding="utf-8"?>
<sst xmlns="http://schemas.openxmlformats.org/spreadsheetml/2006/main" count="168" uniqueCount="109">
  <si>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</si>
  <si>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</si>
  <si>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</si>
  <si>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</si>
  <si>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</si>
  <si>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</si>
  <si>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</si>
  <si>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</si>
  <si>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</si>
  <si>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</si>
  <si>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</si>
  <si>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</si>
  <si>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</si>
  <si>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</si>
  <si>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</si>
  <si>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</si>
  <si>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</si>
  <si>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</si>
  <si>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</si>
  <si>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</si>
  <si>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</si>
  <si>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</si>
  <si>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</si>
  <si>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</si>
  <si>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</si>
  <si>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</si>
  <si>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</si>
  <si>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</si>
  <si>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</si>
  <si>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</si>
  <si>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</si>
  <si>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</si>
  <si>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</si>
  <si>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</si>
  <si>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</si>
  <si>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</si>
  <si>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</si>
  <si>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</si>
  <si>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</si>
  <si>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</si>
  <si>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</si>
  <si>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</si>
  <si>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</si>
  <si>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</si>
  <si>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</si>
  <si>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</si>
  <si>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</si>
  <si>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</si>
  <si>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</si>
  <si>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</si>
  <si>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</si>
  <si>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</si>
  <si>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</si>
  <si>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</si>
  <si>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</si>
  <si>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</si>
  <si>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</si>
  <si>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</si>
  <si>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</si>
  <si>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</si>
  <si>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</si>
  <si>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</si>
  <si>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</si>
  <si>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</si>
  <si>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</si>
  <si>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</si>
  <si>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</si>
  <si>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</si>
  <si>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</si>
  <si>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</si>
  <si>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</si>
  <si>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</si>
  <si>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</si>
  <si>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</si>
  <si>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</si>
  <si>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</si>
  <si>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</si>
  <si>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</si>
  <si>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</si>
  <si>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</si>
  <si>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</si>
  <si>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</si>
  <si>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</si>
  <si>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</si>
  <si>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</si>
  <si>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</si>
  <si>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</si>
  <si>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</si>
  <si>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</si>
  <si>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</si>
  <si>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</si>
  <si>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</si>
  <si>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</si>
  <si>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</si>
  <si>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</si>
  <si>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</si>
  <si>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</si>
  <si>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</si>
  <si>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</si>
  <si>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</si>
  <si>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</si>
  <si>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 xml:space="preserve">Días medios de entrega </t>
  </si>
  <si>
    <t>1,97</t>
  </si>
  <si>
    <t>Trabajos externalizados</t>
  </si>
  <si>
    <t>Enero</t>
  </si>
  <si>
    <t>Febrero</t>
  </si>
  <si>
    <t>Marzo</t>
  </si>
  <si>
    <t>Abril</t>
  </si>
  <si>
    <t>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</si>
</sst>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17" fontId="6" fillId="2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5" fillId="3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0" borderId="0" xfId="0" applyFont="1"/>
    <xf numFmtId="0" fontId="4" fillId="0" borderId="0" xfId="0" applyFont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16" t="s">
        <v>0</v>
      </c>
      <c r="B1" s="16"/>
      <c r="C1" s="16"/>
      <c r="D1" s="16"/>
    </row>
    <row r="3" spans="1:4" ht="18" x14ac:dyDescent="0.2">
      <c r="A3" s="1" t="s">
        <v>1</v>
      </c>
    </row>
    <row r="5" spans="1:4" ht="31.5" customHeight="1" x14ac:dyDescent="0.2">
      <c r="A5" s="2" t="s">
        <v>2</v>
      </c>
      <c r="B5" s="17" t="s">
        <v>3</v>
      </c>
      <c r="C5" s="17"/>
      <c r="D5" s="17"/>
    </row>
    <row r="6" spans="1:4" ht="31.5" customHeight="1" x14ac:dyDescent="0.2">
      <c r="A6" s="2" t="s">
        <v>2</v>
      </c>
      <c r="B6" s="17" t="s">
        <v>4</v>
      </c>
      <c r="C6" s="17"/>
      <c r="D6" s="17"/>
    </row>
    <row r="7" spans="1:4" ht="31.5" customHeight="1" x14ac:dyDescent="0.2">
      <c r="A7" s="2" t="s">
        <v>2</v>
      </c>
      <c r="B7" s="17" t="s">
        <v>5</v>
      </c>
      <c r="C7" s="17"/>
      <c r="D7" s="17"/>
    </row>
    <row r="9" spans="1:4" ht="18" x14ac:dyDescent="0.2">
      <c r="A9" s="1" t="s">
        <v>6</v>
      </c>
    </row>
    <row r="11" spans="1:4" ht="36" customHeight="1" x14ac:dyDescent="0.2">
      <c r="A11" s="3" t="s">
        <v>7</v>
      </c>
      <c r="B11" s="14" t="s">
        <v>8</v>
      </c>
      <c r="C11" s="14"/>
      <c r="D11" s="14"/>
    </row>
    <row r="12" spans="1:4" ht="36" customHeight="1" x14ac:dyDescent="0.2">
      <c r="A12" s="3" t="s">
        <v>9</v>
      </c>
      <c r="B12" s="14" t="s">
        <v>10</v>
      </c>
      <c r="C12" s="14"/>
      <c r="D12" s="14"/>
    </row>
    <row r="13" spans="1:4" ht="36" customHeight="1" x14ac:dyDescent="0.2">
      <c r="A13" s="3" t="s">
        <v>11</v>
      </c>
      <c r="B13" s="14" t="s">
        <v>12</v>
      </c>
      <c r="C13" s="14"/>
      <c r="D13" s="14"/>
    </row>
    <row r="14" spans="1:4" ht="36" customHeight="1" x14ac:dyDescent="0.2">
      <c r="A14" s="3" t="s">
        <v>13</v>
      </c>
      <c r="B14" s="14" t="s">
        <v>14</v>
      </c>
      <c r="C14" s="14"/>
      <c r="D14" s="14"/>
    </row>
    <row r="15" spans="1:4" ht="36" customHeight="1" x14ac:dyDescent="0.2">
      <c r="A15" s="3" t="s">
        <v>15</v>
      </c>
      <c r="B15" s="14" t="s">
        <v>16</v>
      </c>
      <c r="C15" s="14"/>
      <c r="D15" s="14"/>
    </row>
    <row r="16" spans="1:4" ht="36" customHeight="1" x14ac:dyDescent="0.2">
      <c r="A16" s="3" t="s">
        <v>17</v>
      </c>
      <c r="B16" s="14" t="s">
        <v>18</v>
      </c>
      <c r="C16" s="14"/>
      <c r="D16" s="14"/>
    </row>
    <row r="17" spans="1:4" ht="36" customHeight="1" x14ac:dyDescent="0.2">
      <c r="A17" s="3" t="s">
        <v>19</v>
      </c>
      <c r="B17" s="14" t="s">
        <v>20</v>
      </c>
      <c r="C17" s="14"/>
      <c r="D17" s="14"/>
    </row>
    <row r="20" spans="1:4" ht="18" x14ac:dyDescent="0.2">
      <c r="A20" s="1" t="s">
        <v>21</v>
      </c>
    </row>
    <row r="22" spans="1:4" ht="42" customHeight="1" x14ac:dyDescent="0.2">
      <c r="A22" s="3" t="s">
        <v>22</v>
      </c>
      <c r="B22" s="14" t="s">
        <v>23</v>
      </c>
      <c r="C22" s="14"/>
      <c r="D22" s="14"/>
    </row>
    <row r="23" spans="1:4" ht="42" customHeight="1" x14ac:dyDescent="0.2">
      <c r="A23" s="3" t="s">
        <v>24</v>
      </c>
      <c r="B23" s="14" t="s">
        <v>25</v>
      </c>
      <c r="C23" s="14"/>
      <c r="D23" s="14"/>
    </row>
    <row r="24" spans="1:4" ht="42" customHeight="1" x14ac:dyDescent="0.2">
      <c r="A24" s="3" t="s">
        <v>26</v>
      </c>
      <c r="B24" s="14" t="s">
        <v>27</v>
      </c>
      <c r="C24" s="14"/>
      <c r="D24" s="14"/>
    </row>
    <row r="25" spans="1:4" ht="42" customHeight="1" x14ac:dyDescent="0.2">
      <c r="A25" s="3" t="s">
        <v>28</v>
      </c>
      <c r="B25" s="14" t="s">
        <v>29</v>
      </c>
      <c r="C25" s="14"/>
      <c r="D25" s="14"/>
    </row>
    <row r="26" spans="1:4" ht="42" customHeight="1" x14ac:dyDescent="0.2">
      <c r="A26" s="3" t="s">
        <v>30</v>
      </c>
      <c r="B26" s="14" t="s">
        <v>31</v>
      </c>
      <c r="C26" s="14"/>
      <c r="D26" s="14"/>
    </row>
    <row r="29" spans="1:4" ht="18" x14ac:dyDescent="0.2">
      <c r="A29" s="1" t="s">
        <v>32</v>
      </c>
    </row>
    <row r="31" spans="1:4" ht="15" customHeight="1" x14ac:dyDescent="0.2">
      <c r="A31" s="4" t="s">
        <v>33</v>
      </c>
      <c r="B31" s="15" t="s">
        <v>34</v>
      </c>
      <c r="C31" s="15"/>
      <c r="D31" s="15"/>
    </row>
    <row r="32" spans="1:4" ht="15" customHeight="1" x14ac:dyDescent="0.2">
      <c r="A32" s="5" t="s">
        <v>35</v>
      </c>
      <c r="B32" s="14" t="s">
        <v>36</v>
      </c>
      <c r="C32" s="14"/>
      <c r="D32" s="14"/>
    </row>
    <row r="33" spans="1:4" ht="15" customHeight="1" x14ac:dyDescent="0.2">
      <c r="A33" s="5" t="s">
        <v>37</v>
      </c>
      <c r="B33" s="14" t="s">
        <v>38</v>
      </c>
      <c r="C33" s="14"/>
      <c r="D33" s="14"/>
    </row>
    <row r="34" spans="1:4" ht="15" customHeight="1" x14ac:dyDescent="0.2">
      <c r="A34" s="5" t="s">
        <v>39</v>
      </c>
      <c r="B34" s="14" t="s">
        <v>40</v>
      </c>
      <c r="C34" s="14"/>
      <c r="D34" s="14"/>
    </row>
    <row r="35" spans="1:4" ht="15" customHeight="1" x14ac:dyDescent="0.2">
      <c r="A35" s="5" t="s">
        <v>41</v>
      </c>
      <c r="B35" s="14" t="s">
        <v>42</v>
      </c>
      <c r="C35" s="14"/>
      <c r="D35" s="14"/>
    </row>
    <row r="36" spans="1:4" ht="15" customHeight="1" x14ac:dyDescent="0.2">
      <c r="A36" s="5" t="s">
        <v>43</v>
      </c>
      <c r="B36" s="14" t="s">
        <v>44</v>
      </c>
      <c r="C36" s="14"/>
      <c r="D36" s="14"/>
    </row>
    <row r="37" spans="1:4" ht="15" customHeight="1" x14ac:dyDescent="0.2">
      <c r="A37" s="5" t="s">
        <v>45</v>
      </c>
      <c r="B37" s="14" t="s">
        <v>46</v>
      </c>
      <c r="C37" s="14"/>
      <c r="D37" s="14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35:D35"/>
    <mergeCell ref="B36:D36"/>
    <mergeCell ref="B37:D37"/>
    <mergeCell ref="B26:D26"/>
    <mergeCell ref="B31:D31"/>
    <mergeCell ref="B32:D32"/>
    <mergeCell ref="B33:D33"/>
    <mergeCell ref="B34:D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zoomScaleNormal="100" workbookViewId="0">
      <selection activeCell="I9" sqref="I9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47</v>
      </c>
      <c r="B1" s="13"/>
      <c r="C1" s="13"/>
      <c r="D1" s="13"/>
      <c r="E1" s="13"/>
      <c r="F1" s="13"/>
    </row>
    <row r="3" spans="1:6" x14ac:dyDescent="0.2">
      <c r="A3" s="4" t="s">
        <v>48</v>
      </c>
      <c r="B3" s="4" t="s">
        <v>104</v>
      </c>
      <c r="C3" s="4" t="s">
        <v>105</v>
      </c>
      <c r="D3" s="4" t="s">
        <v>106</v>
      </c>
      <c r="E3" s="9" t="s">
        <v>107</v>
      </c>
      <c r="F3" s="4" t="s">
        <v>49</v>
      </c>
    </row>
    <row r="4" spans="1:6" x14ac:dyDescent="0.2">
      <c r="A4" s="8" t="s">
        <v>50</v>
      </c>
      <c r="B4" s="8">
        <f>23+7</f>
        <v>30</v>
      </c>
      <c r="C4" s="8">
        <f>28+10</f>
        <v>38</v>
      </c>
      <c r="D4" s="8">
        <f>23+8</f>
        <v>31</v>
      </c>
      <c r="E4" s="8">
        <f>26+9</f>
        <v>35</v>
      </c>
      <c r="F4" s="10">
        <f t="shared" ref="F4:F18" si="0">SUM(B4:E4)</f>
        <v>134</v>
      </c>
    </row>
    <row r="5" spans="1:6" x14ac:dyDescent="0.2">
      <c r="A5" s="8" t="s">
        <v>45</v>
      </c>
      <c r="B5" s="8">
        <f>25+1</f>
        <v>26</v>
      </c>
      <c r="C5" s="8">
        <v>21</v>
      </c>
      <c r="D5" s="8">
        <f>22+1</f>
        <v>23</v>
      </c>
      <c r="E5" s="8">
        <f>7+1</f>
        <v>8</v>
      </c>
      <c r="F5" s="10">
        <f t="shared" si="0"/>
        <v>78</v>
      </c>
    </row>
    <row r="6" spans="1:6" x14ac:dyDescent="0.2">
      <c r="A6" s="8" t="s">
        <v>51</v>
      </c>
      <c r="B6" s="8">
        <v>11</v>
      </c>
      <c r="C6" s="8">
        <v>22</v>
      </c>
      <c r="D6" s="8">
        <v>12</v>
      </c>
      <c r="E6" s="8">
        <f>13+2</f>
        <v>15</v>
      </c>
      <c r="F6" s="10">
        <f t="shared" si="0"/>
        <v>60</v>
      </c>
    </row>
    <row r="7" spans="1:6" x14ac:dyDescent="0.2">
      <c r="A7" s="8" t="s">
        <v>73</v>
      </c>
      <c r="B7" s="8">
        <f>13+2</f>
        <v>15</v>
      </c>
      <c r="C7" s="8">
        <f>8+7</f>
        <v>15</v>
      </c>
      <c r="D7" s="8">
        <f>11+7</f>
        <v>18</v>
      </c>
      <c r="E7" s="8">
        <f>11+10</f>
        <v>21</v>
      </c>
      <c r="F7" s="10">
        <f t="shared" si="0"/>
        <v>69</v>
      </c>
    </row>
    <row r="8" spans="1:6" x14ac:dyDescent="0.2">
      <c r="A8" s="8" t="s">
        <v>52</v>
      </c>
      <c r="B8" s="8">
        <f>9+1</f>
        <v>10</v>
      </c>
      <c r="C8" s="8">
        <f>6+1</f>
        <v>7</v>
      </c>
      <c r="D8" s="8">
        <f>7+2</f>
        <v>9</v>
      </c>
      <c r="E8" s="8">
        <v>11</v>
      </c>
      <c r="F8" s="10">
        <f t="shared" si="0"/>
        <v>37</v>
      </c>
    </row>
    <row r="9" spans="1:6" x14ac:dyDescent="0.2">
      <c r="A9" s="8" t="s">
        <v>74</v>
      </c>
      <c r="B9" s="8">
        <f>5+1</f>
        <v>6</v>
      </c>
      <c r="C9" s="8">
        <f>8+1</f>
        <v>9</v>
      </c>
      <c r="D9" s="8">
        <v>6</v>
      </c>
      <c r="E9" s="8">
        <f>6+2</f>
        <v>8</v>
      </c>
      <c r="F9" s="10">
        <f t="shared" si="0"/>
        <v>29</v>
      </c>
    </row>
    <row r="10" spans="1:6" x14ac:dyDescent="0.2">
      <c r="A10" s="8" t="s">
        <v>75</v>
      </c>
      <c r="B10" s="8">
        <f>9+1</f>
        <v>10</v>
      </c>
      <c r="C10" s="8">
        <f>4+6</f>
        <v>10</v>
      </c>
      <c r="D10" s="8">
        <f>4+3</f>
        <v>7</v>
      </c>
      <c r="E10" s="8">
        <f>3+2</f>
        <v>5</v>
      </c>
      <c r="F10" s="10">
        <f t="shared" si="0"/>
        <v>32</v>
      </c>
    </row>
    <row r="11" spans="1:6" x14ac:dyDescent="0.2">
      <c r="A11" s="8" t="s">
        <v>76</v>
      </c>
      <c r="B11" s="8">
        <v>3</v>
      </c>
      <c r="C11" s="8">
        <v>5</v>
      </c>
      <c r="D11" s="8">
        <v>4</v>
      </c>
      <c r="E11" s="8">
        <v>6</v>
      </c>
      <c r="F11" s="10">
        <f t="shared" si="0"/>
        <v>18</v>
      </c>
    </row>
    <row r="12" spans="1:6" x14ac:dyDescent="0.2">
      <c r="A12" s="8" t="s">
        <v>77</v>
      </c>
      <c r="B12" s="8">
        <f>4+1</f>
        <v>5</v>
      </c>
      <c r="C12" s="8"/>
      <c r="D12" s="8">
        <v>1</v>
      </c>
      <c r="E12" s="8">
        <f>2+1</f>
        <v>3</v>
      </c>
      <c r="F12" s="10">
        <f t="shared" si="0"/>
        <v>9</v>
      </c>
    </row>
    <row r="13" spans="1:6" x14ac:dyDescent="0.2">
      <c r="A13" s="8" t="s">
        <v>53</v>
      </c>
      <c r="B13" s="8">
        <v>1</v>
      </c>
      <c r="C13" s="8">
        <v>2</v>
      </c>
      <c r="D13" s="8"/>
      <c r="E13" s="8">
        <v>3</v>
      </c>
      <c r="F13" s="10">
        <f t="shared" si="0"/>
        <v>6</v>
      </c>
    </row>
    <row r="14" spans="1:6" x14ac:dyDescent="0.2">
      <c r="A14" s="8" t="s">
        <v>78</v>
      </c>
      <c r="B14" s="8">
        <v>2</v>
      </c>
      <c r="C14" s="8">
        <v>2</v>
      </c>
      <c r="D14" s="8">
        <f>2+2</f>
        <v>4</v>
      </c>
      <c r="E14" s="8"/>
      <c r="F14" s="10">
        <f t="shared" si="0"/>
        <v>8</v>
      </c>
    </row>
    <row r="15" spans="1:6" x14ac:dyDescent="0.2">
      <c r="A15" s="8" t="s">
        <v>79</v>
      </c>
      <c r="B15" s="8">
        <f>3+1</f>
        <v>4</v>
      </c>
      <c r="C15" s="8"/>
      <c r="D15" s="8"/>
      <c r="E15" s="8">
        <v>1</v>
      </c>
      <c r="F15" s="10">
        <f t="shared" si="0"/>
        <v>5</v>
      </c>
    </row>
    <row r="16" spans="1:6" x14ac:dyDescent="0.2">
      <c r="A16" s="8" t="s">
        <v>80</v>
      </c>
      <c r="B16" s="8">
        <v>3</v>
      </c>
      <c r="C16" s="8">
        <v>1</v>
      </c>
      <c r="D16" s="8"/>
      <c r="E16" s="8"/>
      <c r="F16" s="10">
        <f t="shared" si="0"/>
        <v>4</v>
      </c>
    </row>
    <row r="17" spans="1:6" x14ac:dyDescent="0.2">
      <c r="A17" s="8" t="s">
        <v>81</v>
      </c>
      <c r="B17" s="8"/>
      <c r="C17" s="8"/>
      <c r="D17" s="8">
        <v>1</v>
      </c>
      <c r="E17" s="8">
        <v>1</v>
      </c>
      <c r="F17" s="11">
        <f t="shared" si="0"/>
        <v>2</v>
      </c>
    </row>
    <row r="18" spans="1:6" x14ac:dyDescent="0.2">
      <c r="A18" s="4" t="s">
        <v>54</v>
      </c>
      <c r="B18" s="12">
        <f>SUM(B4:B17)</f>
        <v>126</v>
      </c>
      <c r="C18" s="12">
        <f>SUM(C4:C17)</f>
        <v>132</v>
      </c>
      <c r="D18" s="12">
        <f>SUM(D4:D17)</f>
        <v>116</v>
      </c>
      <c r="E18" s="12">
        <f>SUM(E4:E17)</f>
        <v>117</v>
      </c>
      <c r="F18" s="12">
        <f t="shared" si="0"/>
        <v>491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  <ignoredErrors>
    <ignoredError sqref="B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55</v>
      </c>
      <c r="B1" s="13"/>
      <c r="C1" s="13"/>
      <c r="D1" s="13"/>
      <c r="E1" s="13"/>
      <c r="F1" s="13"/>
    </row>
    <row r="3" spans="1:6" x14ac:dyDescent="0.2">
      <c r="A3" s="4" t="s">
        <v>56</v>
      </c>
      <c r="B3" s="4" t="s">
        <v>104</v>
      </c>
      <c r="C3" s="4" t="s">
        <v>105</v>
      </c>
      <c r="D3" s="4" t="s">
        <v>106</v>
      </c>
      <c r="E3" s="9" t="s">
        <v>107</v>
      </c>
      <c r="F3" s="4" t="s">
        <v>49</v>
      </c>
    </row>
    <row r="4" spans="1:6" x14ac:dyDescent="0.2">
      <c r="A4" s="8" t="s">
        <v>82</v>
      </c>
      <c r="B4" s="8">
        <f>25+1</f>
        <v>26</v>
      </c>
      <c r="C4" s="8">
        <f>24+1</f>
        <v>25</v>
      </c>
      <c r="D4" s="8">
        <f>20+1</f>
        <v>21</v>
      </c>
      <c r="E4" s="8">
        <f>18+2</f>
        <v>20</v>
      </c>
      <c r="F4" s="8">
        <f t="shared" ref="F4:F24" si="0">SUM(B4:E4)</f>
        <v>92</v>
      </c>
    </row>
    <row r="5" spans="1:6" x14ac:dyDescent="0.2">
      <c r="A5" s="8" t="s">
        <v>57</v>
      </c>
      <c r="B5" s="8">
        <v>19</v>
      </c>
      <c r="C5" s="8">
        <v>20</v>
      </c>
      <c r="D5" s="8">
        <v>7</v>
      </c>
      <c r="E5" s="8">
        <v>20</v>
      </c>
      <c r="F5" s="8">
        <f t="shared" si="0"/>
        <v>66</v>
      </c>
    </row>
    <row r="6" spans="1:6" x14ac:dyDescent="0.2">
      <c r="A6" s="8" t="s">
        <v>83</v>
      </c>
      <c r="B6" s="8">
        <v>14</v>
      </c>
      <c r="C6" s="8">
        <v>14</v>
      </c>
      <c r="D6" s="8">
        <v>19</v>
      </c>
      <c r="E6" s="8">
        <v>9</v>
      </c>
      <c r="F6" s="8">
        <f t="shared" si="0"/>
        <v>56</v>
      </c>
    </row>
    <row r="7" spans="1:6" x14ac:dyDescent="0.2">
      <c r="A7" s="8" t="s">
        <v>84</v>
      </c>
      <c r="B7" s="8">
        <v>7</v>
      </c>
      <c r="C7" s="8">
        <v>7</v>
      </c>
      <c r="D7" s="8">
        <v>16</v>
      </c>
      <c r="E7" s="8">
        <f>13+1</f>
        <v>14</v>
      </c>
      <c r="F7" s="8">
        <f t="shared" si="0"/>
        <v>44</v>
      </c>
    </row>
    <row r="8" spans="1:6" x14ac:dyDescent="0.2">
      <c r="A8" s="8" t="s">
        <v>58</v>
      </c>
      <c r="B8" s="8">
        <v>10</v>
      </c>
      <c r="C8" s="8">
        <v>10</v>
      </c>
      <c r="D8" s="8">
        <v>5</v>
      </c>
      <c r="E8" s="8">
        <v>10</v>
      </c>
      <c r="F8" s="8">
        <f t="shared" si="0"/>
        <v>35</v>
      </c>
    </row>
    <row r="9" spans="1:6" x14ac:dyDescent="0.2">
      <c r="A9" s="8" t="s">
        <v>85</v>
      </c>
      <c r="B9" s="8">
        <v>12</v>
      </c>
      <c r="C9" s="8">
        <v>8</v>
      </c>
      <c r="D9" s="8">
        <v>2</v>
      </c>
      <c r="E9" s="8">
        <v>1</v>
      </c>
      <c r="F9" s="8">
        <f t="shared" si="0"/>
        <v>23</v>
      </c>
    </row>
    <row r="10" spans="1:6" x14ac:dyDescent="0.2">
      <c r="A10" s="8" t="s">
        <v>86</v>
      </c>
      <c r="B10" s="8">
        <f>5+1</f>
        <v>6</v>
      </c>
      <c r="C10" s="8">
        <v>4</v>
      </c>
      <c r="D10" s="8">
        <f>5+3</f>
        <v>8</v>
      </c>
      <c r="E10" s="8">
        <v>3</v>
      </c>
      <c r="F10" s="8">
        <f t="shared" si="0"/>
        <v>21</v>
      </c>
    </row>
    <row r="11" spans="1:6" x14ac:dyDescent="0.2">
      <c r="A11" s="8" t="s">
        <v>87</v>
      </c>
      <c r="B11" s="8">
        <v>5</v>
      </c>
      <c r="C11" s="8">
        <v>1</v>
      </c>
      <c r="D11" s="8">
        <v>3</v>
      </c>
      <c r="E11" s="8">
        <v>5</v>
      </c>
      <c r="F11" s="8">
        <f t="shared" si="0"/>
        <v>14</v>
      </c>
    </row>
    <row r="12" spans="1:6" x14ac:dyDescent="0.2">
      <c r="A12" s="8" t="s">
        <v>60</v>
      </c>
      <c r="B12" s="8">
        <v>3</v>
      </c>
      <c r="C12" s="8">
        <v>2</v>
      </c>
      <c r="D12" s="8">
        <v>4</v>
      </c>
      <c r="E12" s="8">
        <v>4</v>
      </c>
      <c r="F12" s="8">
        <f t="shared" si="0"/>
        <v>13</v>
      </c>
    </row>
    <row r="13" spans="1:6" x14ac:dyDescent="0.2">
      <c r="A13" s="8" t="s">
        <v>59</v>
      </c>
      <c r="B13" s="8">
        <f>3+12</f>
        <v>15</v>
      </c>
      <c r="C13" s="8">
        <f>2+23</f>
        <v>25</v>
      </c>
      <c r="D13" s="8">
        <f>3+18</f>
        <v>21</v>
      </c>
      <c r="E13" s="8">
        <f>0+23</f>
        <v>23</v>
      </c>
      <c r="F13" s="8">
        <f t="shared" si="0"/>
        <v>84</v>
      </c>
    </row>
    <row r="14" spans="1:6" x14ac:dyDescent="0.2">
      <c r="A14" s="8" t="s">
        <v>88</v>
      </c>
      <c r="B14" s="8">
        <f>1+2</f>
        <v>3</v>
      </c>
      <c r="C14" s="8">
        <v>2</v>
      </c>
      <c r="D14" s="8">
        <f>0+2</f>
        <v>2</v>
      </c>
      <c r="E14" s="8">
        <v>3</v>
      </c>
      <c r="F14" s="8">
        <f t="shared" si="0"/>
        <v>10</v>
      </c>
    </row>
    <row r="15" spans="1:6" x14ac:dyDescent="0.2">
      <c r="A15" s="8" t="s">
        <v>89</v>
      </c>
      <c r="B15" s="8">
        <v>2</v>
      </c>
      <c r="C15" s="8">
        <f>1+1</f>
        <v>2</v>
      </c>
      <c r="D15" s="8">
        <v>1</v>
      </c>
      <c r="E15" s="8">
        <v>1</v>
      </c>
      <c r="F15" s="8">
        <f t="shared" si="0"/>
        <v>6</v>
      </c>
    </row>
    <row r="16" spans="1:6" x14ac:dyDescent="0.2">
      <c r="A16" s="8" t="s">
        <v>90</v>
      </c>
      <c r="B16" s="8"/>
      <c r="C16" s="8">
        <v>3</v>
      </c>
      <c r="D16" s="8">
        <v>1</v>
      </c>
      <c r="E16" s="8">
        <v>1</v>
      </c>
      <c r="F16" s="8">
        <f t="shared" si="0"/>
        <v>5</v>
      </c>
    </row>
    <row r="17" spans="1:6" x14ac:dyDescent="0.2">
      <c r="A17" s="8" t="s">
        <v>91</v>
      </c>
      <c r="B17" s="8">
        <v>3</v>
      </c>
      <c r="C17" s="8">
        <v>2</v>
      </c>
      <c r="D17" s="8"/>
      <c r="E17" s="8"/>
      <c r="F17" s="8">
        <f t="shared" si="0"/>
        <v>5</v>
      </c>
    </row>
    <row r="18" spans="1:6" x14ac:dyDescent="0.2">
      <c r="A18" s="8" t="s">
        <v>92</v>
      </c>
      <c r="B18" s="8"/>
      <c r="C18" s="8">
        <v>2</v>
      </c>
      <c r="D18" s="8"/>
      <c r="E18" s="8">
        <v>2</v>
      </c>
      <c r="F18" s="8">
        <f t="shared" si="0"/>
        <v>4</v>
      </c>
    </row>
    <row r="19" spans="1:6" x14ac:dyDescent="0.2">
      <c r="A19" s="8" t="s">
        <v>93</v>
      </c>
      <c r="B19" s="8"/>
      <c r="C19" s="8">
        <v>2</v>
      </c>
      <c r="D19" s="8">
        <v>1</v>
      </c>
      <c r="E19" s="8"/>
      <c r="F19" s="8">
        <f t="shared" si="0"/>
        <v>3</v>
      </c>
    </row>
    <row r="20" spans="1:6" x14ac:dyDescent="0.2">
      <c r="A20" s="8" t="s">
        <v>94</v>
      </c>
      <c r="B20" s="8"/>
      <c r="C20" s="8">
        <v>2</v>
      </c>
      <c r="D20" s="8">
        <v>1</v>
      </c>
      <c r="E20" s="8"/>
      <c r="F20" s="8">
        <f t="shared" si="0"/>
        <v>3</v>
      </c>
    </row>
    <row r="21" spans="1:6" x14ac:dyDescent="0.2">
      <c r="A21" s="8" t="s">
        <v>95</v>
      </c>
      <c r="B21" s="8">
        <v>1</v>
      </c>
      <c r="C21" s="8">
        <v>1</v>
      </c>
      <c r="D21" s="8">
        <v>1</v>
      </c>
      <c r="E21" s="8"/>
      <c r="F21" s="8">
        <f t="shared" si="0"/>
        <v>3</v>
      </c>
    </row>
    <row r="22" spans="1:6" x14ac:dyDescent="0.2">
      <c r="A22" s="8" t="s">
        <v>96</v>
      </c>
      <c r="B22" s="8"/>
      <c r="C22" s="8"/>
      <c r="D22" s="8">
        <v>2</v>
      </c>
      <c r="E22" s="8"/>
      <c r="F22" s="8">
        <f t="shared" si="0"/>
        <v>2</v>
      </c>
    </row>
    <row r="23" spans="1:6" x14ac:dyDescent="0.2">
      <c r="A23" s="8" t="s">
        <v>97</v>
      </c>
      <c r="B23" s="8">
        <v>1</v>
      </c>
      <c r="C23" s="8"/>
      <c r="D23" s="8"/>
      <c r="E23" s="8"/>
      <c r="F23" s="8">
        <f t="shared" si="0"/>
        <v>1</v>
      </c>
    </row>
    <row r="24" spans="1:6" x14ac:dyDescent="0.2">
      <c r="A24" s="8" t="s">
        <v>98</v>
      </c>
      <c r="B24" s="8"/>
      <c r="C24" s="8"/>
      <c r="D24" s="8">
        <v>1</v>
      </c>
      <c r="E24" s="8">
        <f>0+1</f>
        <v>1</v>
      </c>
      <c r="F24" s="8">
        <f t="shared" si="0"/>
        <v>2</v>
      </c>
    </row>
    <row r="25" spans="1:6" x14ac:dyDescent="0.2">
      <c r="A25" s="4" t="s">
        <v>54</v>
      </c>
      <c r="B25" s="4">
        <f>SUM(B4:B24)</f>
        <v>127</v>
      </c>
      <c r="C25" s="4">
        <f>SUM(C4:C24)</f>
        <v>132</v>
      </c>
      <c r="D25" s="4">
        <f>SUM(D4:D24)</f>
        <v>116</v>
      </c>
      <c r="E25" s="4">
        <f>SUM(E4:E24)</f>
        <v>117</v>
      </c>
      <c r="F25" s="4">
        <f>SUM(F4:F24)</f>
        <v>492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61</v>
      </c>
      <c r="B1" s="13"/>
      <c r="C1" s="13"/>
      <c r="D1" s="13"/>
      <c r="E1" s="13"/>
      <c r="F1" s="13"/>
    </row>
    <row r="3" spans="1:6" x14ac:dyDescent="0.2">
      <c r="A3" s="4" t="s">
        <v>56</v>
      </c>
      <c r="B3" s="4" t="s">
        <v>104</v>
      </c>
      <c r="C3" s="4" t="s">
        <v>105</v>
      </c>
      <c r="D3" s="4" t="s">
        <v>106</v>
      </c>
      <c r="E3" s="4" t="s">
        <v>107</v>
      </c>
      <c r="F3" s="4" t="s">
        <v>49</v>
      </c>
    </row>
    <row r="4" spans="1:6" x14ac:dyDescent="0.2">
      <c r="A4" s="8" t="s">
        <v>99</v>
      </c>
      <c r="B4" s="8">
        <v>160</v>
      </c>
      <c r="C4" s="8">
        <v>127</v>
      </c>
      <c r="D4" s="8">
        <v>165.5</v>
      </c>
      <c r="E4" s="8">
        <v>279.75</v>
      </c>
      <c r="F4" s="7">
        <f t="shared" ref="F4:F26" si="0">SUM(B4:E4)</f>
        <v>732.25</v>
      </c>
    </row>
    <row r="5" spans="1:6" x14ac:dyDescent="0.2">
      <c r="A5" s="8" t="s">
        <v>57</v>
      </c>
      <c r="B5" s="8">
        <v>62.8</v>
      </c>
      <c r="C5" s="8">
        <v>53.25</v>
      </c>
      <c r="D5" s="8">
        <v>147.75</v>
      </c>
      <c r="E5" s="8">
        <v>25.5</v>
      </c>
      <c r="F5" s="7">
        <f t="shared" si="0"/>
        <v>289.3</v>
      </c>
    </row>
    <row r="6" spans="1:6" x14ac:dyDescent="0.2">
      <c r="A6" s="8" t="s">
        <v>82</v>
      </c>
      <c r="B6" s="8">
        <f>58+0.5</f>
        <v>58.5</v>
      </c>
      <c r="C6" s="8">
        <f>102.5+3</f>
        <v>105.5</v>
      </c>
      <c r="D6" s="8">
        <f>26.5+1</f>
        <v>27.5</v>
      </c>
      <c r="E6" s="8">
        <f>62.25+9.25</f>
        <v>71.5</v>
      </c>
      <c r="F6" s="7">
        <f t="shared" si="0"/>
        <v>263</v>
      </c>
    </row>
    <row r="7" spans="1:6" x14ac:dyDescent="0.2">
      <c r="A7" s="8" t="s">
        <v>58</v>
      </c>
      <c r="B7" s="8">
        <v>52</v>
      </c>
      <c r="C7" s="8">
        <v>28</v>
      </c>
      <c r="D7" s="8">
        <v>89</v>
      </c>
      <c r="E7" s="8">
        <v>65.5</v>
      </c>
      <c r="F7" s="7">
        <f t="shared" si="0"/>
        <v>234.5</v>
      </c>
    </row>
    <row r="8" spans="1:6" x14ac:dyDescent="0.2">
      <c r="A8" s="8" t="s">
        <v>84</v>
      </c>
      <c r="B8" s="8">
        <v>79</v>
      </c>
      <c r="C8" s="8">
        <v>71.5</v>
      </c>
      <c r="D8" s="8">
        <v>29.25</v>
      </c>
      <c r="E8" s="8">
        <f>43.5+3</f>
        <v>46.5</v>
      </c>
      <c r="F8" s="7">
        <f t="shared" si="0"/>
        <v>226.25</v>
      </c>
    </row>
    <row r="9" spans="1:6" x14ac:dyDescent="0.2">
      <c r="A9" s="8" t="s">
        <v>85</v>
      </c>
      <c r="B9" s="8">
        <v>2</v>
      </c>
      <c r="C9" s="8">
        <v>28.5</v>
      </c>
      <c r="D9" s="8">
        <v>74</v>
      </c>
      <c r="E9" s="8">
        <v>53.5</v>
      </c>
      <c r="F9" s="7">
        <f t="shared" si="0"/>
        <v>158</v>
      </c>
    </row>
    <row r="10" spans="1:6" x14ac:dyDescent="0.2">
      <c r="A10" s="8" t="s">
        <v>86</v>
      </c>
      <c r="B10" s="8">
        <f>40.5+20.5</f>
        <v>61</v>
      </c>
      <c r="C10" s="8">
        <v>38</v>
      </c>
      <c r="D10" s="8">
        <f>16.75+32</f>
        <v>48.75</v>
      </c>
      <c r="E10" s="8">
        <v>8</v>
      </c>
      <c r="F10" s="7">
        <f t="shared" si="0"/>
        <v>155.75</v>
      </c>
    </row>
    <row r="11" spans="1:6" x14ac:dyDescent="0.2">
      <c r="A11" s="8" t="s">
        <v>87</v>
      </c>
      <c r="B11" s="8">
        <v>36</v>
      </c>
      <c r="C11" s="8">
        <v>34.5</v>
      </c>
      <c r="D11" s="8">
        <v>13</v>
      </c>
      <c r="E11" s="8">
        <v>6</v>
      </c>
      <c r="F11" s="7">
        <f t="shared" si="0"/>
        <v>89.5</v>
      </c>
    </row>
    <row r="12" spans="1:6" x14ac:dyDescent="0.2">
      <c r="A12" s="8" t="s">
        <v>60</v>
      </c>
      <c r="B12" s="8">
        <v>21.5</v>
      </c>
      <c r="C12" s="8">
        <v>13.5</v>
      </c>
      <c r="D12" s="8">
        <v>24.25</v>
      </c>
      <c r="E12" s="8">
        <v>15</v>
      </c>
      <c r="F12" s="7">
        <f t="shared" si="0"/>
        <v>74.25</v>
      </c>
    </row>
    <row r="13" spans="1:6" x14ac:dyDescent="0.2">
      <c r="A13" s="8" t="s">
        <v>83</v>
      </c>
      <c r="B13" s="8">
        <v>17.5</v>
      </c>
      <c r="C13" s="8">
        <v>18.25</v>
      </c>
      <c r="D13" s="8">
        <v>9</v>
      </c>
      <c r="E13" s="8">
        <v>13</v>
      </c>
      <c r="F13" s="7">
        <f t="shared" si="0"/>
        <v>57.75</v>
      </c>
    </row>
    <row r="14" spans="1:6" x14ac:dyDescent="0.2">
      <c r="A14" s="8" t="s">
        <v>91</v>
      </c>
      <c r="B14" s="8"/>
      <c r="C14" s="8"/>
      <c r="D14" s="8">
        <v>39.5</v>
      </c>
      <c r="E14" s="8">
        <v>8</v>
      </c>
      <c r="F14" s="7">
        <f t="shared" si="0"/>
        <v>47.5</v>
      </c>
    </row>
    <row r="15" spans="1:6" x14ac:dyDescent="0.2">
      <c r="A15" s="8" t="s">
        <v>96</v>
      </c>
      <c r="B15" s="8"/>
      <c r="C15" s="8">
        <v>24.25</v>
      </c>
      <c r="D15" s="8"/>
      <c r="E15" s="8"/>
      <c r="F15" s="7">
        <f t="shared" si="0"/>
        <v>24.25</v>
      </c>
    </row>
    <row r="16" spans="1:6" x14ac:dyDescent="0.2">
      <c r="A16" s="8" t="s">
        <v>95</v>
      </c>
      <c r="B16" s="8"/>
      <c r="C16" s="8">
        <v>8.75</v>
      </c>
      <c r="D16" s="8">
        <v>4.5</v>
      </c>
      <c r="E16" s="8">
        <v>10.5</v>
      </c>
      <c r="F16" s="7">
        <f t="shared" si="0"/>
        <v>23.75</v>
      </c>
    </row>
    <row r="17" spans="1:6" x14ac:dyDescent="0.2">
      <c r="A17" s="8" t="s">
        <v>88</v>
      </c>
      <c r="B17" s="8">
        <f>16.75+22</f>
        <v>38.75</v>
      </c>
      <c r="C17" s="8">
        <f>0+4</f>
        <v>4</v>
      </c>
      <c r="D17" s="8">
        <f>3+4.25</f>
        <v>7.25</v>
      </c>
      <c r="E17" s="8">
        <v>4</v>
      </c>
      <c r="F17" s="7">
        <f t="shared" si="0"/>
        <v>54</v>
      </c>
    </row>
    <row r="18" spans="1:6" x14ac:dyDescent="0.2">
      <c r="A18" s="8" t="s">
        <v>90</v>
      </c>
      <c r="B18" s="8">
        <v>4</v>
      </c>
      <c r="C18" s="8">
        <v>5</v>
      </c>
      <c r="D18" s="8"/>
      <c r="E18" s="8">
        <v>14.5</v>
      </c>
      <c r="F18" s="7">
        <f t="shared" si="0"/>
        <v>23.5</v>
      </c>
    </row>
    <row r="19" spans="1:6" x14ac:dyDescent="0.2">
      <c r="A19" s="8" t="s">
        <v>59</v>
      </c>
      <c r="B19" s="8">
        <v>73</v>
      </c>
      <c r="C19" s="8">
        <f>5.75+241</f>
        <v>246.75</v>
      </c>
      <c r="D19" s="8">
        <f>13.5+208</f>
        <v>221.5</v>
      </c>
      <c r="E19" s="8">
        <f>3.75+126</f>
        <v>129.75</v>
      </c>
      <c r="F19" s="7">
        <f t="shared" si="0"/>
        <v>671</v>
      </c>
    </row>
    <row r="20" spans="1:6" x14ac:dyDescent="0.2">
      <c r="A20" s="8" t="s">
        <v>98</v>
      </c>
      <c r="B20" s="8"/>
      <c r="C20" s="8">
        <v>13</v>
      </c>
      <c r="D20" s="8"/>
      <c r="E20" s="8">
        <v>6</v>
      </c>
      <c r="F20" s="7">
        <f t="shared" si="0"/>
        <v>19</v>
      </c>
    </row>
    <row r="21" spans="1:6" x14ac:dyDescent="0.2">
      <c r="A21" s="8" t="s">
        <v>97</v>
      </c>
      <c r="B21" s="8"/>
      <c r="C21" s="8"/>
      <c r="D21" s="8">
        <v>12</v>
      </c>
      <c r="E21" s="8"/>
      <c r="F21" s="7">
        <f t="shared" si="0"/>
        <v>12</v>
      </c>
    </row>
    <row r="22" spans="1:6" x14ac:dyDescent="0.2">
      <c r="A22" s="8" t="s">
        <v>94</v>
      </c>
      <c r="B22" s="8"/>
      <c r="C22" s="8">
        <v>6.5</v>
      </c>
      <c r="D22" s="8"/>
      <c r="E22" s="8">
        <v>5</v>
      </c>
      <c r="F22" s="7">
        <f t="shared" si="0"/>
        <v>11.5</v>
      </c>
    </row>
    <row r="23" spans="1:6" x14ac:dyDescent="0.2">
      <c r="A23" s="8" t="s">
        <v>89</v>
      </c>
      <c r="B23" s="8">
        <v>1</v>
      </c>
      <c r="C23" s="8">
        <f>1+1</f>
        <v>2</v>
      </c>
      <c r="D23" s="8">
        <v>5</v>
      </c>
      <c r="E23" s="8">
        <v>1</v>
      </c>
      <c r="F23" s="7">
        <f t="shared" si="0"/>
        <v>9</v>
      </c>
    </row>
    <row r="24" spans="1:6" x14ac:dyDescent="0.2">
      <c r="A24" s="8" t="s">
        <v>92</v>
      </c>
      <c r="B24" s="8">
        <v>3</v>
      </c>
      <c r="C24" s="8"/>
      <c r="D24" s="8"/>
      <c r="E24" s="8">
        <v>5</v>
      </c>
      <c r="F24" s="7">
        <f t="shared" si="0"/>
        <v>8</v>
      </c>
    </row>
    <row r="25" spans="1:6" x14ac:dyDescent="0.2">
      <c r="A25" s="8" t="s">
        <v>93</v>
      </c>
      <c r="B25" s="8"/>
      <c r="C25" s="8">
        <v>1</v>
      </c>
      <c r="D25" s="8"/>
      <c r="E25" s="8">
        <v>3.5</v>
      </c>
      <c r="F25" s="7">
        <f t="shared" si="0"/>
        <v>4.5</v>
      </c>
    </row>
    <row r="26" spans="1:6" x14ac:dyDescent="0.2">
      <c r="A26" s="4" t="s">
        <v>54</v>
      </c>
      <c r="B26" s="4">
        <f>SUM(B4:B25)</f>
        <v>670.05</v>
      </c>
      <c r="C26" s="4">
        <f>SUM(C4:C25)</f>
        <v>829.25</v>
      </c>
      <c r="D26" s="4">
        <f>SUM(D4:D25)</f>
        <v>917.75</v>
      </c>
      <c r="E26" s="4">
        <f>SUM(E4:E25)</f>
        <v>771.5</v>
      </c>
      <c r="F26" s="4">
        <f t="shared" si="0"/>
        <v>3188.55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62</v>
      </c>
      <c r="B1" s="13"/>
      <c r="C1" s="13"/>
      <c r="D1" s="13"/>
      <c r="E1" s="13"/>
      <c r="F1" s="13"/>
    </row>
    <row r="3" spans="1:6" x14ac:dyDescent="0.2">
      <c r="A3" s="4" t="s">
        <v>41</v>
      </c>
      <c r="B3" s="4" t="s">
        <v>104</v>
      </c>
      <c r="C3" s="4" t="s">
        <v>105</v>
      </c>
      <c r="D3" s="4" t="s">
        <v>106</v>
      </c>
      <c r="E3" s="4" t="s">
        <v>107</v>
      </c>
      <c r="F3" s="4" t="s">
        <v>49</v>
      </c>
    </row>
    <row r="4" spans="1:6" x14ac:dyDescent="0.2">
      <c r="A4" s="8" t="s">
        <v>63</v>
      </c>
      <c r="B4" s="8">
        <f>77+12</f>
        <v>89</v>
      </c>
      <c r="C4" s="8">
        <f>73+21</f>
        <v>94</v>
      </c>
      <c r="D4" s="8">
        <f>67+24</f>
        <v>91</v>
      </c>
      <c r="E4" s="8">
        <f>59+26</f>
        <v>85</v>
      </c>
      <c r="F4" s="7">
        <f t="shared" ref="F4:F9" si="0">SUM(B4:E4)</f>
        <v>359</v>
      </c>
    </row>
    <row r="5" spans="1:6" x14ac:dyDescent="0.2">
      <c r="A5" s="8" t="s">
        <v>64</v>
      </c>
      <c r="B5" s="8">
        <f>27+3</f>
        <v>30</v>
      </c>
      <c r="C5" s="8">
        <f>14+3</f>
        <v>17</v>
      </c>
      <c r="D5" s="8">
        <f>18+2</f>
        <v>20</v>
      </c>
      <c r="E5" s="8">
        <f>15+2</f>
        <v>17</v>
      </c>
      <c r="F5" s="7">
        <f t="shared" si="0"/>
        <v>84</v>
      </c>
    </row>
    <row r="6" spans="1:6" x14ac:dyDescent="0.2">
      <c r="A6" s="8" t="s">
        <v>66</v>
      </c>
      <c r="B6" s="8">
        <f>4+3</f>
        <v>7</v>
      </c>
      <c r="C6" s="8">
        <f>13+1</f>
        <v>14</v>
      </c>
      <c r="D6" s="8">
        <v>4</v>
      </c>
      <c r="E6" s="8">
        <v>16</v>
      </c>
      <c r="F6" s="7">
        <f t="shared" si="0"/>
        <v>41</v>
      </c>
    </row>
    <row r="7" spans="1:6" x14ac:dyDescent="0.2">
      <c r="A7" s="8" t="s">
        <v>65</v>
      </c>
      <c r="B7" s="8"/>
      <c r="C7" s="8">
        <f>5</f>
        <v>5</v>
      </c>
      <c r="D7" s="8">
        <v>3</v>
      </c>
      <c r="E7" s="8"/>
      <c r="F7" s="7">
        <f t="shared" si="0"/>
        <v>8</v>
      </c>
    </row>
    <row r="8" spans="1:6" x14ac:dyDescent="0.2">
      <c r="A8" s="8" t="s">
        <v>100</v>
      </c>
      <c r="B8" s="8">
        <v>3</v>
      </c>
      <c r="C8" s="8">
        <v>2</v>
      </c>
      <c r="D8" s="8"/>
      <c r="E8" s="8"/>
      <c r="F8" s="7">
        <f t="shared" si="0"/>
        <v>5</v>
      </c>
    </row>
    <row r="9" spans="1:6" x14ac:dyDescent="0.2">
      <c r="A9" s="4" t="s">
        <v>54</v>
      </c>
      <c r="B9" s="4">
        <f>SUM(B4:B8)</f>
        <v>129</v>
      </c>
      <c r="C9" s="4">
        <f>SUM(C4:C8)</f>
        <v>132</v>
      </c>
      <c r="D9" s="4">
        <f>SUM(D4:D8)</f>
        <v>118</v>
      </c>
      <c r="E9" s="4">
        <f>SUM(E4:E8)</f>
        <v>118</v>
      </c>
      <c r="F9" s="4">
        <f t="shared" si="0"/>
        <v>497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8" customWidth="1"/>
    <col min="2" max="5" width="14" customWidth="1"/>
  </cols>
  <sheetData>
    <row r="1" spans="1:5" ht="18" x14ac:dyDescent="0.2">
      <c r="A1" s="13" t="s">
        <v>67</v>
      </c>
      <c r="B1" s="13"/>
      <c r="C1" s="13"/>
      <c r="D1" s="13"/>
      <c r="E1" s="13"/>
    </row>
    <row r="3" spans="1:5" x14ac:dyDescent="0.2">
      <c r="A3" s="4" t="s">
        <v>68</v>
      </c>
      <c r="B3" s="4" t="s">
        <v>104</v>
      </c>
      <c r="C3" s="4" t="s">
        <v>105</v>
      </c>
      <c r="D3" s="4" t="s">
        <v>106</v>
      </c>
      <c r="E3" s="4" t="s">
        <v>107</v>
      </c>
    </row>
    <row r="4" spans="1:5" x14ac:dyDescent="0.2">
      <c r="A4" s="6" t="s">
        <v>101</v>
      </c>
      <c r="B4" s="8" t="s">
        <v>102</v>
      </c>
      <c r="C4" s="8">
        <v>2.25</v>
      </c>
      <c r="D4" s="8">
        <v>2.23</v>
      </c>
      <c r="E4" s="8">
        <v>1.93</v>
      </c>
    </row>
    <row r="5" spans="1:5" x14ac:dyDescent="0.2">
      <c r="A5" s="4" t="s">
        <v>69</v>
      </c>
      <c r="B5" s="18">
        <f>AVERAGE(B4:E4)</f>
        <v>2.1366666666666667</v>
      </c>
      <c r="C5" s="18"/>
      <c r="D5" s="18"/>
      <c r="E5" s="18"/>
    </row>
  </sheetData>
  <mergeCells count="2">
    <mergeCell ref="A1:E1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18" x14ac:dyDescent="0.2">
      <c r="A1" s="13" t="s">
        <v>70</v>
      </c>
      <c r="B1" s="13"/>
      <c r="C1" s="13"/>
      <c r="D1" s="13"/>
      <c r="E1" s="13"/>
      <c r="F1" s="13"/>
    </row>
    <row r="3" spans="1:6" x14ac:dyDescent="0.2">
      <c r="A3" s="4" t="s">
        <v>68</v>
      </c>
      <c r="B3" s="4" t="s">
        <v>104</v>
      </c>
      <c r="C3" s="4" t="s">
        <v>105</v>
      </c>
      <c r="D3" s="4" t="s">
        <v>106</v>
      </c>
      <c r="E3" s="4" t="s">
        <v>107</v>
      </c>
      <c r="F3" s="4" t="s">
        <v>49</v>
      </c>
    </row>
    <row r="4" spans="1:6" x14ac:dyDescent="0.2">
      <c r="A4" s="6" t="s">
        <v>71</v>
      </c>
      <c r="B4" s="8">
        <f>25+1</f>
        <v>26</v>
      </c>
      <c r="C4" s="8">
        <v>21</v>
      </c>
      <c r="D4" s="8">
        <f>22+1</f>
        <v>23</v>
      </c>
      <c r="E4" s="8">
        <f>7+1</f>
        <v>8</v>
      </c>
      <c r="F4" s="7">
        <f>SUM(B4:E4)</f>
        <v>78</v>
      </c>
    </row>
    <row r="5" spans="1:6" x14ac:dyDescent="0.2">
      <c r="A5" s="6" t="s">
        <v>72</v>
      </c>
      <c r="B5" s="8">
        <f>13.75+12</f>
        <v>25.75</v>
      </c>
      <c r="C5" s="8">
        <v>23.25</v>
      </c>
      <c r="D5" s="8">
        <f>19+15.5</f>
        <v>34.5</v>
      </c>
      <c r="E5" s="8">
        <f>5+26</f>
        <v>31</v>
      </c>
      <c r="F5" s="7">
        <f>SUM(B5:E5)</f>
        <v>114.5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724B3-610D-B645-9E33-D85F4FB536C4}">
  <dimension ref="A1:F4"/>
  <sheetViews>
    <sheetView workbookViewId="0">
      <selection activeCell="B3" sqref="B3:E3"/>
    </sheetView>
  </sheetViews>
  <sheetFormatPr baseColWidth="10" defaultRowHeight="15" x14ac:dyDescent="0.2"/>
  <sheetData>
    <row r="1" spans="1:6" ht="18" x14ac:dyDescent="0.2">
      <c r="A1" s="13" t="s">
        <v>103</v>
      </c>
      <c r="B1" s="13"/>
      <c r="C1" s="13"/>
      <c r="D1" s="13"/>
      <c r="E1" s="13"/>
      <c r="F1" s="13"/>
    </row>
    <row r="3" spans="1:6" x14ac:dyDescent="0.2">
      <c r="A3" s="4"/>
      <c r="B3" s="4" t="s">
        <v>104</v>
      </c>
      <c r="C3" s="4" t="s">
        <v>105</v>
      </c>
      <c r="D3" s="4" t="s">
        <v>106</v>
      </c>
      <c r="E3" s="4" t="s">
        <v>107</v>
      </c>
      <c r="F3" s="4" t="s">
        <v>49</v>
      </c>
    </row>
    <row r="4" spans="1:6" x14ac:dyDescent="0.2">
      <c r="A4" s="8" t="s">
        <v>108</v>
      </c>
      <c r="B4" s="8">
        <v>2</v>
      </c>
      <c r="C4" s="8">
        <v>0</v>
      </c>
      <c r="D4" s="8">
        <v>0</v>
      </c>
      <c r="E4" s="8">
        <v>8</v>
      </c>
      <c r="F4" s="7">
        <f>SUM(B4:E4)</f>
        <v>10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2026-05-05T10:56:43Z</dcterms:modified>
  <dc:language>en-US</dc:language>
</cp:coreProperties>
</file>